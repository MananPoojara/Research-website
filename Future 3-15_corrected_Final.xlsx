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30 Cr_MidCap" sheetId="1" state="visible" r:id="rId2"/>
    <sheet name="P&amp;L 30 Cr_BNF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<sst xmlns="http://schemas.openxmlformats.org/spreadsheetml/2006/main" count="376" uniqueCount="26">
  <si>
    <t xml:space="preserve">Date </t>
  </si>
  <si>
    <t xml:space="preserve">Symbol</t>
  </si>
  <si>
    <t xml:space="preserve">Expiry</t>
  </si>
  <si>
    <t xml:space="preserve">Trade Type</t>
  </si>
  <si>
    <t xml:space="preserve">Option Type</t>
  </si>
  <si>
    <t xml:space="preserve">Qty</t>
  </si>
  <si>
    <t xml:space="preserve">Entry Price</t>
  </si>
  <si>
    <t xml:space="preserve">Exit Price</t>
  </si>
  <si>
    <t xml:space="preserve">Points</t>
  </si>
  <si>
    <t xml:space="preserve">Gross Profit</t>
  </si>
  <si>
    <t xml:space="preserve">Sell Value</t>
  </si>
  <si>
    <t xml:space="preserve">Buy Value</t>
  </si>
  <si>
    <t xml:space="preserve">Total Turnover</t>
  </si>
  <si>
    <t xml:space="preserve">STT</t>
  </si>
  <si>
    <t xml:space="preserve">Exchange Fee</t>
  </si>
  <si>
    <t xml:space="preserve">SEBI Turnover fee</t>
  </si>
  <si>
    <t xml:space="preserve">Stanmp duty</t>
  </si>
  <si>
    <t xml:space="preserve">GST</t>
  </si>
  <si>
    <t xml:space="preserve">Total Expense</t>
  </si>
  <si>
    <t xml:space="preserve">Net Profit</t>
  </si>
  <si>
    <t xml:space="preserve">MIDCPNIFTY</t>
  </si>
  <si>
    <t xml:space="preserve">LONG</t>
  </si>
  <si>
    <t xml:space="preserve">FUT</t>
  </si>
  <si>
    <t xml:space="preserve">NIFTY</t>
  </si>
  <si>
    <t xml:space="preserve">SHORT</t>
  </si>
  <si>
    <t xml:space="preserve">NIFTYBANK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</si>
</sst>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_ * #,##0.00_ ;_ * \-#,##0.00_ ;_ * \-??_ ;_ @_ "/>
    <numFmt numFmtId="167" formatCode="dd/mm/yyyy"/>
    <numFmt numFmtId="168" formatCode="#,##0"/>
    <numFmt numFmtId="169" formatCode="_ * #,##0_ ;_ * \-#,##0_ ;_ * \-??_ ;_ @_ "/>
    <numFmt numFmtId="170" formatCode="0%"/>
    <numFmt numFmtId="171" formatCode="0.000%"/>
    <numFmt numFmtId="172" formatCode="0.0000%"/>
    <numFmt numFmtId="173" formatCode="0.0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rbel"/>
      <family val="2"/>
      <charset val="1"/>
    </font>
    <font>
      <sz val="11"/>
      <color rgb="FF000000"/>
      <name val="Corbe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1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5" activePane="bottomLeft" state="frozen"/>
      <selection pane="topLeft" activeCell="A1" activeCellId="0" sqref="A1"/>
      <selection pane="bottomLeft" activeCell="A58" activeCellId="0" sqref="A58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2.27"/>
    <col collapsed="false" customWidth="true" hidden="false" outlineLevel="0" max="3" min="3" style="0" width="12.13"/>
    <col collapsed="false" customWidth="true" hidden="false" outlineLevel="0" max="4" min="4" style="0" width="7.26"/>
    <col collapsed="false" customWidth="true" hidden="false" outlineLevel="0" max="5" min="5" style="0" width="4.9"/>
    <col collapsed="false" customWidth="true" hidden="false" outlineLevel="0" max="6" min="6" style="0" width="7.68"/>
    <col collapsed="false" customWidth="true" hidden="false" outlineLevel="0" max="9" min="7" style="0" width="9.91"/>
    <col collapsed="false" customWidth="true" hidden="false" outlineLevel="0" max="10" min="10" style="0" width="16.87"/>
    <col collapsed="false" customWidth="true" hidden="false" outlineLevel="0" max="13" min="11" style="0" width="17.55"/>
    <col collapsed="false" customWidth="true" hidden="false" outlineLevel="0" max="14" min="14" style="0" width="12.68"/>
    <col collapsed="false" customWidth="true" hidden="false" outlineLevel="0" max="15" min="15" style="0" width="10.6"/>
    <col collapsed="false" customWidth="true" hidden="false" outlineLevel="0" max="16" min="16" style="0" width="7.13"/>
    <col collapsed="false" customWidth="true" hidden="false" outlineLevel="0" max="18" min="17" style="0" width="9.2"/>
    <col collapsed="false" customWidth="true" hidden="false" outlineLevel="0" max="19" min="19" style="0" width="12.68"/>
    <col collapsed="false" customWidth="true" hidden="false" outlineLevel="0" max="20" min="20" style="0" width="16.87"/>
    <col collapsed="false" customWidth="true" hidden="false" outlineLevel="0" max="22" min="22" style="0" width="8.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3" t="n">
        <v>45407</v>
      </c>
      <c r="B2" s="4" t="s">
        <v>20</v>
      </c>
      <c r="C2" s="3" t="n">
        <v>45439</v>
      </c>
      <c r="D2" s="4" t="s">
        <v>21</v>
      </c>
      <c r="E2" s="4" t="s">
        <v>22</v>
      </c>
      <c r="F2" s="5" t="n">
        <v>27450</v>
      </c>
      <c r="G2" s="4" t="n">
        <v>10922.65</v>
      </c>
      <c r="H2" s="4" t="n">
        <v>11680</v>
      </c>
      <c r="I2" s="6" t="n">
        <f aca="false">IF(D2="Short",G2-H2,H2-G2)</f>
        <v>757.35</v>
      </c>
      <c r="J2" s="6" t="n">
        <f aca="false">I2*F2</f>
        <v>20789257.5</v>
      </c>
      <c r="K2" s="6" t="n">
        <f aca="false">IF(D2="Short",F2*G2,F2*H2)</f>
        <v>320616000</v>
      </c>
      <c r="L2" s="6" t="n">
        <f aca="false">IF(D2="Short",F2*H2,G2*F2)</f>
        <v>299826742.5</v>
      </c>
      <c r="M2" s="6" t="n">
        <f aca="false">K2+L2</f>
        <v>620442742.5</v>
      </c>
      <c r="N2" s="6" t="n">
        <f aca="false">K2*0.02%</f>
        <v>64123.2</v>
      </c>
      <c r="O2" s="6" t="n">
        <f aca="false">M2*0.00183%</f>
        <v>11354.10218775</v>
      </c>
      <c r="P2" s="6" t="n">
        <f aca="false">M2*0.0001%</f>
        <v>620.4427425</v>
      </c>
      <c r="Q2" s="6" t="n">
        <f aca="false">L2*0.002%</f>
        <v>5996.53485</v>
      </c>
      <c r="R2" s="6" t="n">
        <f aca="false">(O2+P2)*18%</f>
        <v>2155.418087445</v>
      </c>
      <c r="S2" s="6" t="n">
        <f aca="false">SUM(N2:R2)</f>
        <v>84249.697867695</v>
      </c>
      <c r="T2" s="6" t="n">
        <f aca="false">J2-S2</f>
        <v>20705007.8021323</v>
      </c>
      <c r="U2" s="7"/>
      <c r="V2" s="8"/>
    </row>
    <row r="3" customFormat="false" ht="15" hidden="false" customHeight="false" outlineLevel="0" collapsed="false">
      <c r="A3" s="3" t="n">
        <v>45407</v>
      </c>
      <c r="B3" s="4" t="s">
        <v>23</v>
      </c>
      <c r="C3" s="3" t="n">
        <v>45442</v>
      </c>
      <c r="D3" s="4" t="s">
        <v>24</v>
      </c>
      <c r="E3" s="4" t="s">
        <v>22</v>
      </c>
      <c r="F3" s="5" t="n">
        <v>13250</v>
      </c>
      <c r="G3" s="4" t="n">
        <v>22654</v>
      </c>
      <c r="H3" s="4" t="n">
        <v>22486.9</v>
      </c>
      <c r="I3" s="6" t="n">
        <f aca="false">IF(D3="Short",G3-H3,H3-G3)</f>
        <v>167.099999999999</v>
      </c>
      <c r="J3" s="6" t="n">
        <f aca="false">I3*F3</f>
        <v>2214074.99999998</v>
      </c>
      <c r="K3" s="6" t="n">
        <f aca="false">IF(D3="Short",F3*G3,F3*H3)</f>
        <v>300165500</v>
      </c>
      <c r="L3" s="6" t="n">
        <f aca="false">IF(D3="Short",F3*H3,G3*F3)</f>
        <v>297951425</v>
      </c>
      <c r="M3" s="6" t="n">
        <f aca="false">K3+L3</f>
        <v>598116925</v>
      </c>
      <c r="N3" s="6" t="n">
        <f aca="false">K3*0.02%</f>
        <v>60033.1</v>
      </c>
      <c r="O3" s="6" t="n">
        <f aca="false">M3*0.00183%</f>
        <v>10945.5397275</v>
      </c>
      <c r="P3" s="6" t="n">
        <f aca="false">M3*0.0001%</f>
        <v>598.116925</v>
      </c>
      <c r="Q3" s="6" t="n">
        <f aca="false">L3*0.002%</f>
        <v>5959.0285</v>
      </c>
      <c r="R3" s="6" t="n">
        <f aca="false">(O3+P3)*18%</f>
        <v>2077.85819745</v>
      </c>
      <c r="S3" s="6" t="n">
        <f aca="false">SUM(N3:R3)</f>
        <v>79613.64334995</v>
      </c>
      <c r="T3" s="6" t="n">
        <f aca="false">J3-S3</f>
        <v>2134461.35665003</v>
      </c>
      <c r="U3" s="7"/>
      <c r="V3" s="8"/>
    </row>
    <row r="4" customFormat="false" ht="15" hidden="false" customHeight="false" outlineLevel="0" collapsed="false">
      <c r="A4" s="3" t="n">
        <v>45439</v>
      </c>
      <c r="B4" s="4" t="s">
        <v>20</v>
      </c>
      <c r="C4" s="3" t="n">
        <v>45467</v>
      </c>
      <c r="D4" s="4" t="s">
        <v>21</v>
      </c>
      <c r="E4" s="4" t="s">
        <v>22</v>
      </c>
      <c r="F4" s="5" t="n">
        <v>27450</v>
      </c>
      <c r="G4" s="4" t="n">
        <v>11373.1</v>
      </c>
      <c r="H4" s="4" t="n">
        <v>12270.1</v>
      </c>
      <c r="I4" s="6" t="n">
        <f aca="false">IF(D4="Short",G4-H4,H4-G4)</f>
        <v>897</v>
      </c>
      <c r="J4" s="6" t="n">
        <f aca="false">I4*F4</f>
        <v>24622650</v>
      </c>
      <c r="K4" s="6" t="n">
        <f aca="false">IF(D4="Short",F4*G4,F4*H4)</f>
        <v>336814245</v>
      </c>
      <c r="L4" s="6" t="n">
        <f aca="false">IF(D4="Short",F4*H4,G4*F4)</f>
        <v>312191595</v>
      </c>
      <c r="M4" s="6" t="n">
        <f aca="false">K4+L4</f>
        <v>649005840</v>
      </c>
      <c r="N4" s="6" t="n">
        <f aca="false">K4*0.02%</f>
        <v>67362.849</v>
      </c>
      <c r="O4" s="6" t="n">
        <f aca="false">M4*0.00183%</f>
        <v>11876.806872</v>
      </c>
      <c r="P4" s="6" t="n">
        <f aca="false">M4*0.0001%</f>
        <v>649.00584</v>
      </c>
      <c r="Q4" s="6" t="n">
        <f aca="false">L4*0.002%</f>
        <v>6243.8319</v>
      </c>
      <c r="R4" s="6" t="n">
        <f aca="false">(O4+P4)*18%</f>
        <v>2254.64628816</v>
      </c>
      <c r="S4" s="6" t="n">
        <f aca="false">SUM(N4:R4)</f>
        <v>88387.13990016</v>
      </c>
      <c r="T4" s="6" t="n">
        <f aca="false">J4-S4</f>
        <v>24534262.8600998</v>
      </c>
      <c r="U4" s="7"/>
      <c r="V4" s="8"/>
    </row>
    <row r="5" customFormat="false" ht="15" hidden="false" customHeight="false" outlineLevel="0" collapsed="false">
      <c r="A5" s="3" t="n">
        <v>45442</v>
      </c>
      <c r="B5" s="4" t="s">
        <v>23</v>
      </c>
      <c r="C5" s="3" t="n">
        <v>45470</v>
      </c>
      <c r="D5" s="4" t="s">
        <v>24</v>
      </c>
      <c r="E5" s="4" t="s">
        <v>22</v>
      </c>
      <c r="F5" s="5" t="n">
        <v>13250</v>
      </c>
      <c r="G5" s="4" t="n">
        <v>22628</v>
      </c>
      <c r="H5" s="4" t="n">
        <v>24040.9</v>
      </c>
      <c r="I5" s="6" t="n">
        <f aca="false">IF(D5="Short",G5-H5,H5-G5)</f>
        <v>-1412.9</v>
      </c>
      <c r="J5" s="6" t="n">
        <f aca="false">I5*F5</f>
        <v>-18720925</v>
      </c>
      <c r="K5" s="6" t="n">
        <f aca="false">IF(D5="Short",F5*G5,F5*H5)</f>
        <v>299821000</v>
      </c>
      <c r="L5" s="6" t="n">
        <f aca="false">IF(D5="Short",F5*H5,G5*F5)</f>
        <v>318541925</v>
      </c>
      <c r="M5" s="6" t="n">
        <f aca="false">K5+L5</f>
        <v>618362925</v>
      </c>
      <c r="N5" s="6" t="n">
        <f aca="false">K5*0.02%</f>
        <v>59964.2</v>
      </c>
      <c r="O5" s="6" t="n">
        <f aca="false">M5*0.00183%</f>
        <v>11316.0415275</v>
      </c>
      <c r="P5" s="6" t="n">
        <f aca="false">M5*0.0001%</f>
        <v>618.362925</v>
      </c>
      <c r="Q5" s="6" t="n">
        <f aca="false">L5*0.002%</f>
        <v>6370.8385</v>
      </c>
      <c r="R5" s="6" t="n">
        <f aca="false">(O5+P5)*18%</f>
        <v>2148.19280145</v>
      </c>
      <c r="S5" s="6" t="n">
        <f aca="false">SUM(N5:R5)</f>
        <v>80417.63575395</v>
      </c>
      <c r="T5" s="6" t="n">
        <f aca="false">J5-S5</f>
        <v>-18801342.635754</v>
      </c>
      <c r="U5" s="7"/>
      <c r="V5" s="8"/>
    </row>
    <row r="6" customFormat="false" ht="15" hidden="false" customHeight="false" outlineLevel="0" collapsed="false">
      <c r="A6" s="3" t="n">
        <v>45467</v>
      </c>
      <c r="B6" s="4" t="s">
        <v>20</v>
      </c>
      <c r="C6" s="3" t="n">
        <v>45502</v>
      </c>
      <c r="D6" s="4" t="s">
        <v>21</v>
      </c>
      <c r="E6" s="4" t="s">
        <v>22</v>
      </c>
      <c r="F6" s="5" t="n">
        <v>27450</v>
      </c>
      <c r="G6" s="4" t="n">
        <v>12282.2</v>
      </c>
      <c r="H6" s="4" t="n">
        <v>12429.15</v>
      </c>
      <c r="I6" s="6" t="n">
        <f aca="false">IF(D6="Short",G6-H6,H6-G6)</f>
        <v>146.949999999999</v>
      </c>
      <c r="J6" s="6" t="n">
        <f aca="false">I6*F6</f>
        <v>4033777.49999997</v>
      </c>
      <c r="K6" s="6" t="n">
        <f aca="false">IF(D6="Short",F6*G6,F6*H6)</f>
        <v>341180167.5</v>
      </c>
      <c r="L6" s="6" t="n">
        <f aca="false">IF(D6="Short",F6*H6,G6*F6)</f>
        <v>337146390</v>
      </c>
      <c r="M6" s="6" t="n">
        <f aca="false">K6+L6</f>
        <v>678326557.5</v>
      </c>
      <c r="N6" s="6" t="n">
        <f aca="false">K6*0.02%</f>
        <v>68236.0335</v>
      </c>
      <c r="O6" s="6" t="n">
        <f aca="false">M6*0.00183%</f>
        <v>12413.37600225</v>
      </c>
      <c r="P6" s="6" t="n">
        <f aca="false">M6*0.0001%</f>
        <v>678.3265575</v>
      </c>
      <c r="Q6" s="6" t="n">
        <f aca="false">L6*0.002%</f>
        <v>6742.9278</v>
      </c>
      <c r="R6" s="6" t="n">
        <f aca="false">(O6+P6)*18%</f>
        <v>2356.506460755</v>
      </c>
      <c r="S6" s="6" t="n">
        <f aca="false">SUM(N6:R6)</f>
        <v>90427.170320505</v>
      </c>
      <c r="T6" s="6" t="n">
        <f aca="false">J6-S6</f>
        <v>3943350.32967947</v>
      </c>
      <c r="U6" s="7"/>
      <c r="V6" s="8"/>
    </row>
    <row r="7" customFormat="false" ht="15" hidden="false" customHeight="false" outlineLevel="0" collapsed="false">
      <c r="A7" s="3" t="n">
        <v>45470</v>
      </c>
      <c r="B7" s="4" t="s">
        <v>23</v>
      </c>
      <c r="C7" s="3" t="n">
        <v>45498</v>
      </c>
      <c r="D7" s="4" t="s">
        <v>24</v>
      </c>
      <c r="E7" s="4" t="s">
        <v>22</v>
      </c>
      <c r="F7" s="5" t="n">
        <v>13250</v>
      </c>
      <c r="G7" s="4" t="n">
        <v>24098</v>
      </c>
      <c r="H7" s="4" t="n">
        <v>24405</v>
      </c>
      <c r="I7" s="6" t="n">
        <f aca="false">IF(D7="Short",G7-H7,H7-G7)</f>
        <v>-307</v>
      </c>
      <c r="J7" s="6" t="n">
        <f aca="false">I7*F7</f>
        <v>-4067750</v>
      </c>
      <c r="K7" s="6" t="n">
        <f aca="false">IF(D7="Short",F7*G7,F7*H7)</f>
        <v>319298500</v>
      </c>
      <c r="L7" s="6" t="n">
        <f aca="false">IF(D7="Short",F7*H7,G7*F7)</f>
        <v>323366250</v>
      </c>
      <c r="M7" s="6" t="n">
        <f aca="false">K7+L7</f>
        <v>642664750</v>
      </c>
      <c r="N7" s="6" t="n">
        <f aca="false">K7*0.02%</f>
        <v>63859.7</v>
      </c>
      <c r="O7" s="6" t="n">
        <f aca="false">M7*0.00183%</f>
        <v>11760.764925</v>
      </c>
      <c r="P7" s="6" t="n">
        <f aca="false">M7*0.0001%</f>
        <v>642.66475</v>
      </c>
      <c r="Q7" s="6" t="n">
        <f aca="false">L7*0.002%</f>
        <v>6467.325</v>
      </c>
      <c r="R7" s="6" t="n">
        <f aca="false">(O7+P7)*18%</f>
        <v>2232.6173415</v>
      </c>
      <c r="S7" s="6" t="n">
        <f aca="false">SUM(N7:R7)</f>
        <v>84963.0720165</v>
      </c>
      <c r="T7" s="6" t="n">
        <f aca="false">J7-S7</f>
        <v>-4152713.0720165</v>
      </c>
      <c r="U7" s="7"/>
      <c r="V7" s="8"/>
    </row>
    <row r="8" customFormat="false" ht="15" hidden="false" customHeight="false" outlineLevel="0" collapsed="false">
      <c r="A8" s="3" t="n">
        <v>45502</v>
      </c>
      <c r="B8" s="4" t="s">
        <v>20</v>
      </c>
      <c r="C8" s="3" t="n">
        <v>45530</v>
      </c>
      <c r="D8" s="4" t="s">
        <v>21</v>
      </c>
      <c r="E8" s="4" t="s">
        <v>22</v>
      </c>
      <c r="F8" s="5" t="n">
        <v>27450</v>
      </c>
      <c r="G8" s="4" t="n">
        <v>12450</v>
      </c>
      <c r="H8" s="4" t="n">
        <v>13055.2</v>
      </c>
      <c r="I8" s="6" t="n">
        <f aca="false">IF(D8="Short",G8-H8,H8-G8)</f>
        <v>605.200000000001</v>
      </c>
      <c r="J8" s="6" t="n">
        <f aca="false">I8*F8</f>
        <v>16612740</v>
      </c>
      <c r="K8" s="6" t="n">
        <f aca="false">IF(D8="Short",F8*G8,F8*H8)</f>
        <v>358365240</v>
      </c>
      <c r="L8" s="6" t="n">
        <f aca="false">IF(D8="Short",F8*H8,G8*F8)</f>
        <v>341752500</v>
      </c>
      <c r="M8" s="6" t="n">
        <f aca="false">K8+L8</f>
        <v>700117740</v>
      </c>
      <c r="N8" s="6" t="n">
        <f aca="false">K8*0.02%</f>
        <v>71673.048</v>
      </c>
      <c r="O8" s="6" t="n">
        <f aca="false">M8*0.00183%</f>
        <v>12812.154642</v>
      </c>
      <c r="P8" s="6" t="n">
        <f aca="false">M8*0.0001%</f>
        <v>700.11774</v>
      </c>
      <c r="Q8" s="6" t="n">
        <f aca="false">L8*0.002%</f>
        <v>6835.05</v>
      </c>
      <c r="R8" s="6" t="n">
        <f aca="false">(O8+P8)*18%</f>
        <v>2432.20902876</v>
      </c>
      <c r="S8" s="6" t="n">
        <f aca="false">SUM(N8:R8)</f>
        <v>94452.57941076</v>
      </c>
      <c r="T8" s="6" t="n">
        <f aca="false">J8-S8</f>
        <v>16518287.4205893</v>
      </c>
      <c r="U8" s="7"/>
      <c r="V8" s="8"/>
    </row>
    <row r="9" customFormat="false" ht="15" hidden="false" customHeight="false" outlineLevel="0" collapsed="false">
      <c r="A9" s="3" t="n">
        <v>45498</v>
      </c>
      <c r="B9" s="4" t="s">
        <v>23</v>
      </c>
      <c r="C9" s="3" t="n">
        <v>45533</v>
      </c>
      <c r="D9" s="4" t="s">
        <v>24</v>
      </c>
      <c r="E9" s="4" t="s">
        <v>22</v>
      </c>
      <c r="F9" s="5" t="n">
        <v>13250</v>
      </c>
      <c r="G9" s="4" t="n">
        <v>24450.1</v>
      </c>
      <c r="H9" s="4" t="n">
        <v>25158</v>
      </c>
      <c r="I9" s="6" t="n">
        <f aca="false">IF(D9="Short",G9-H9,H9-G9)</f>
        <v>-707.900000000002</v>
      </c>
      <c r="J9" s="6" t="n">
        <f aca="false">I9*F9</f>
        <v>-9379675.00000002</v>
      </c>
      <c r="K9" s="6" t="n">
        <f aca="false">IF(D9="Short",F9*G9,F9*H9)</f>
        <v>323963825</v>
      </c>
      <c r="L9" s="6" t="n">
        <f aca="false">IF(D9="Short",F9*H9,G9*F9)</f>
        <v>333343500</v>
      </c>
      <c r="M9" s="6" t="n">
        <f aca="false">K9+L9</f>
        <v>657307325</v>
      </c>
      <c r="N9" s="6" t="n">
        <f aca="false">K9*0.02%</f>
        <v>64792.765</v>
      </c>
      <c r="O9" s="6" t="n">
        <f aca="false">M9*0.00183%</f>
        <v>12028.7240475</v>
      </c>
      <c r="P9" s="6" t="n">
        <f aca="false">M9*0.0001%</f>
        <v>657.307325</v>
      </c>
      <c r="Q9" s="6" t="n">
        <f aca="false">L9*0.002%</f>
        <v>6666.87</v>
      </c>
      <c r="R9" s="6" t="n">
        <f aca="false">(O9+P9)*18%</f>
        <v>2283.48564705</v>
      </c>
      <c r="S9" s="6" t="n">
        <f aca="false">SUM(N9:R9)</f>
        <v>86429.15201955</v>
      </c>
      <c r="T9" s="6" t="n">
        <f aca="false">J9-S9</f>
        <v>-9466104.15201957</v>
      </c>
      <c r="U9" s="7"/>
      <c r="V9" s="8"/>
    </row>
    <row r="10" customFormat="false" ht="15" hidden="false" customHeight="false" outlineLevel="0" collapsed="false">
      <c r="A10" s="3" t="n">
        <v>45530</v>
      </c>
      <c r="B10" s="4" t="s">
        <v>20</v>
      </c>
      <c r="C10" s="3" t="n">
        <v>45565</v>
      </c>
      <c r="D10" s="4" t="s">
        <v>21</v>
      </c>
      <c r="E10" s="4" t="s">
        <v>22</v>
      </c>
      <c r="F10" s="5" t="n">
        <v>27450</v>
      </c>
      <c r="G10" s="4" t="n">
        <v>13120</v>
      </c>
      <c r="H10" s="4" t="n">
        <v>13272.75</v>
      </c>
      <c r="I10" s="6" t="n">
        <f aca="false">IF(D10="Short",G10-H10,H10-G10)</f>
        <v>152.75</v>
      </c>
      <c r="J10" s="6" t="n">
        <f aca="false">I10*F10</f>
        <v>4192987.5</v>
      </c>
      <c r="K10" s="6" t="n">
        <f aca="false">IF(D10="Short",F10*G10,F10*H10)</f>
        <v>364336987.5</v>
      </c>
      <c r="L10" s="6" t="n">
        <f aca="false">IF(D10="Short",F10*H10,G10*F10)</f>
        <v>360144000</v>
      </c>
      <c r="M10" s="6" t="n">
        <f aca="false">K10+L10</f>
        <v>724480987.5</v>
      </c>
      <c r="N10" s="6" t="n">
        <f aca="false">K10*0.02%</f>
        <v>72867.3975</v>
      </c>
      <c r="O10" s="6" t="n">
        <f aca="false">M10*0.00183%</f>
        <v>13258.00207125</v>
      </c>
      <c r="P10" s="6" t="n">
        <f aca="false">M10*0.0001%</f>
        <v>724.4809875</v>
      </c>
      <c r="Q10" s="6" t="n">
        <f aca="false">L10*0.002%</f>
        <v>7202.88</v>
      </c>
      <c r="R10" s="6" t="n">
        <f aca="false">(O10+P10)*18%</f>
        <v>2516.846950575</v>
      </c>
      <c r="S10" s="6" t="n">
        <f aca="false">SUM(N10:R10)</f>
        <v>96569.607509325</v>
      </c>
      <c r="T10" s="6" t="n">
        <f aca="false">J10-S10</f>
        <v>4096417.89249068</v>
      </c>
      <c r="U10" s="7"/>
      <c r="V10" s="8"/>
    </row>
    <row r="11" customFormat="false" ht="15" hidden="false" customHeight="false" outlineLevel="0" collapsed="false">
      <c r="A11" s="3" t="n">
        <v>45533</v>
      </c>
      <c r="B11" s="4" t="s">
        <v>23</v>
      </c>
      <c r="C11" s="3" t="n">
        <v>45561</v>
      </c>
      <c r="D11" s="4" t="s">
        <v>24</v>
      </c>
      <c r="E11" s="4" t="s">
        <v>22</v>
      </c>
      <c r="F11" s="5" t="n">
        <v>13250</v>
      </c>
      <c r="G11" s="4" t="n">
        <v>25258.4</v>
      </c>
      <c r="H11" s="4" t="n">
        <v>26215</v>
      </c>
      <c r="I11" s="6" t="n">
        <f aca="false">IF(D11="Short",G11-H11,H11-G11)</f>
        <v>-956.599999999999</v>
      </c>
      <c r="J11" s="6" t="n">
        <f aca="false">I11*F11</f>
        <v>-12674950</v>
      </c>
      <c r="K11" s="6" t="n">
        <f aca="false">IF(D11="Short",F11*G11,F11*H11)</f>
        <v>334673800</v>
      </c>
      <c r="L11" s="6" t="n">
        <f aca="false">IF(D11="Short",F11*H11,G11*F11)</f>
        <v>347348750</v>
      </c>
      <c r="M11" s="6" t="n">
        <f aca="false">K11+L11</f>
        <v>682022550</v>
      </c>
      <c r="N11" s="6" t="n">
        <f aca="false">K11*0.02%</f>
        <v>66934.76</v>
      </c>
      <c r="O11" s="6" t="n">
        <f aca="false">M11*0.00183%</f>
        <v>12481.012665</v>
      </c>
      <c r="P11" s="6" t="n">
        <f aca="false">M11*0.0001%</f>
        <v>682.02255</v>
      </c>
      <c r="Q11" s="6" t="n">
        <f aca="false">L11*0.002%</f>
        <v>6946.975</v>
      </c>
      <c r="R11" s="6" t="n">
        <f aca="false">(O11+P11)*18%</f>
        <v>2369.3463387</v>
      </c>
      <c r="S11" s="6" t="n">
        <f aca="false">SUM(N11:R11)</f>
        <v>89414.1165537</v>
      </c>
      <c r="T11" s="6" t="n">
        <f aca="false">J11-S11</f>
        <v>-12764364.1165537</v>
      </c>
      <c r="U11" s="7"/>
      <c r="V11" s="8"/>
    </row>
    <row r="12" customFormat="false" ht="15" hidden="false" customHeight="false" outlineLevel="0" collapsed="false">
      <c r="A12" s="3" t="n">
        <v>45565</v>
      </c>
      <c r="B12" s="4" t="s">
        <v>20</v>
      </c>
      <c r="C12" s="3" t="n">
        <v>45593</v>
      </c>
      <c r="D12" s="4" t="s">
        <v>21</v>
      </c>
      <c r="E12" s="4" t="s">
        <v>22</v>
      </c>
      <c r="F12" s="5" t="n">
        <v>27450</v>
      </c>
      <c r="G12" s="4" t="n">
        <v>13337.1</v>
      </c>
      <c r="H12" s="4" t="n">
        <v>12402.65</v>
      </c>
      <c r="I12" s="6" t="n">
        <f aca="false">IF(D12="Short",G12-H12,H12-G12)</f>
        <v>-934.450000000001</v>
      </c>
      <c r="J12" s="6" t="n">
        <f aca="false">I12*F12</f>
        <v>-25650652.5</v>
      </c>
      <c r="K12" s="6" t="n">
        <f aca="false">IF(D12="Short",F12*G12,F12*H12)</f>
        <v>340452742.5</v>
      </c>
      <c r="L12" s="6" t="n">
        <f aca="false">IF(D12="Short",F12*H12,G12*F12)</f>
        <v>366103395</v>
      </c>
      <c r="M12" s="6" t="n">
        <f aca="false">K12+L12</f>
        <v>706556137.5</v>
      </c>
      <c r="N12" s="6" t="n">
        <f aca="false">K12*0.02%</f>
        <v>68090.5485</v>
      </c>
      <c r="O12" s="6" t="n">
        <f aca="false">M12*0.00183%</f>
        <v>12929.97731625</v>
      </c>
      <c r="P12" s="6" t="n">
        <f aca="false">M12*0.0001%</f>
        <v>706.5561375</v>
      </c>
      <c r="Q12" s="6" t="n">
        <f aca="false">L12*0.002%</f>
        <v>7322.0679</v>
      </c>
      <c r="R12" s="6" t="n">
        <f aca="false">(O12+P12)*18%</f>
        <v>2454.576021675</v>
      </c>
      <c r="S12" s="6" t="n">
        <f aca="false">SUM(N12:R12)</f>
        <v>91503.725875425</v>
      </c>
      <c r="T12" s="6" t="n">
        <f aca="false">J12-S12</f>
        <v>-25742156.2258754</v>
      </c>
      <c r="U12" s="9"/>
    </row>
    <row r="13" customFormat="false" ht="15" hidden="false" customHeight="false" outlineLevel="0" collapsed="false">
      <c r="A13" s="3" t="n">
        <v>45561</v>
      </c>
      <c r="B13" s="4" t="s">
        <v>23</v>
      </c>
      <c r="C13" s="3" t="n">
        <v>45596</v>
      </c>
      <c r="D13" s="4" t="s">
        <v>24</v>
      </c>
      <c r="E13" s="4" t="s">
        <v>22</v>
      </c>
      <c r="F13" s="5" t="n">
        <v>13250</v>
      </c>
      <c r="G13" s="4" t="n">
        <v>26308.55</v>
      </c>
      <c r="H13" s="4" t="n">
        <v>24209</v>
      </c>
      <c r="I13" s="6" t="n">
        <f aca="false">IF(D13="Short",G13-H13,H13-G13)</f>
        <v>2099.55</v>
      </c>
      <c r="J13" s="6" t="n">
        <f aca="false">I13*F13</f>
        <v>27819037.5</v>
      </c>
      <c r="K13" s="6" t="n">
        <f aca="false">IF(D13="Short",F13*G13,F13*H13)</f>
        <v>348588287.5</v>
      </c>
      <c r="L13" s="6" t="n">
        <f aca="false">IF(D13="Short",F13*H13,G13*F13)</f>
        <v>320769250</v>
      </c>
      <c r="M13" s="6" t="n">
        <f aca="false">K13+L13</f>
        <v>669357537.5</v>
      </c>
      <c r="N13" s="6" t="n">
        <f aca="false">K13*0.02%</f>
        <v>69717.6575</v>
      </c>
      <c r="O13" s="6" t="n">
        <f aca="false">M13*0.00183%</f>
        <v>12249.24293625</v>
      </c>
      <c r="P13" s="6" t="n">
        <f aca="false">M13*0.0001%</f>
        <v>669.3575375</v>
      </c>
      <c r="Q13" s="6" t="n">
        <f aca="false">L13*0.002%</f>
        <v>6415.385</v>
      </c>
      <c r="R13" s="6" t="n">
        <f aca="false">(O13+P13)*18%</f>
        <v>2325.348085275</v>
      </c>
      <c r="S13" s="6" t="n">
        <f aca="false">SUM(N13:R13)</f>
        <v>91376.991059025</v>
      </c>
      <c r="T13" s="6" t="n">
        <f aca="false">J13-S13</f>
        <v>27727660.508941</v>
      </c>
    </row>
    <row r="14" customFormat="false" ht="15" hidden="false" customHeight="false" outlineLevel="0" collapsed="false">
      <c r="A14" s="3" t="n">
        <v>45593</v>
      </c>
      <c r="B14" s="4" t="s">
        <v>20</v>
      </c>
      <c r="C14" s="3" t="n">
        <v>45621</v>
      </c>
      <c r="D14" s="4" t="s">
        <v>21</v>
      </c>
      <c r="E14" s="4" t="s">
        <v>22</v>
      </c>
      <c r="F14" s="5" t="n">
        <v>27360</v>
      </c>
      <c r="G14" s="4" t="n">
        <v>12454.45</v>
      </c>
      <c r="H14" s="4" t="n">
        <v>12573.65</v>
      </c>
      <c r="I14" s="6" t="n">
        <f aca="false">IF(D14="Short",G14-H14,H14-G14)</f>
        <v>119.199999999999</v>
      </c>
      <c r="J14" s="6" t="n">
        <f aca="false">I14*F14</f>
        <v>3261311.99999997</v>
      </c>
      <c r="K14" s="6" t="n">
        <f aca="false">IF(D14="Short",F14*G14,F14*H14)</f>
        <v>344015064</v>
      </c>
      <c r="L14" s="6" t="n">
        <f aca="false">IF(D14="Short",F14*H14,G14*F14)</f>
        <v>340753752</v>
      </c>
      <c r="M14" s="6" t="n">
        <f aca="false">K14+L14</f>
        <v>684768816</v>
      </c>
      <c r="N14" s="6" t="n">
        <f aca="false">K14*0.02%</f>
        <v>68803.0128</v>
      </c>
      <c r="O14" s="6" t="n">
        <f aca="false">M14*0.00183%</f>
        <v>12531.2693328</v>
      </c>
      <c r="P14" s="6" t="n">
        <f aca="false">M14*0.0001%</f>
        <v>684.768816</v>
      </c>
      <c r="Q14" s="6" t="n">
        <f aca="false">L14*0.002%</f>
        <v>6815.07504</v>
      </c>
      <c r="R14" s="6" t="n">
        <f aca="false">(O14+P14)*18%</f>
        <v>2378.886866784</v>
      </c>
      <c r="S14" s="6" t="n">
        <f aca="false">SUM(N14:R14)</f>
        <v>91213.012855584</v>
      </c>
      <c r="T14" s="6" t="n">
        <f aca="false">J14-S14</f>
        <v>3170098.98714439</v>
      </c>
    </row>
    <row r="15" customFormat="false" ht="15" hidden="false" customHeight="false" outlineLevel="0" collapsed="false">
      <c r="A15" s="3" t="n">
        <v>45596</v>
      </c>
      <c r="B15" s="4" t="s">
        <v>23</v>
      </c>
      <c r="C15" s="3" t="n">
        <v>45624</v>
      </c>
      <c r="D15" s="4" t="s">
        <v>24</v>
      </c>
      <c r="E15" s="4" t="s">
        <v>22</v>
      </c>
      <c r="F15" s="5" t="n">
        <v>13250</v>
      </c>
      <c r="G15" s="4" t="n">
        <v>24398.3</v>
      </c>
      <c r="H15" s="4" t="n">
        <v>23901.55</v>
      </c>
      <c r="I15" s="6" t="n">
        <f aca="false">IF(D15="Short",G15-H15,H15-G15)</f>
        <v>496.75</v>
      </c>
      <c r="J15" s="6" t="n">
        <f aca="false">I15*F15</f>
        <v>6581937.5</v>
      </c>
      <c r="K15" s="6" t="n">
        <f aca="false">IF(D15="Short",F15*G15,F15*H15)</f>
        <v>323277475</v>
      </c>
      <c r="L15" s="6" t="n">
        <f aca="false">IF(D15="Short",F15*H15,G15*F15)</f>
        <v>316695537.5</v>
      </c>
      <c r="M15" s="6" t="n">
        <f aca="false">K15+L15</f>
        <v>639973012.5</v>
      </c>
      <c r="N15" s="6" t="n">
        <f aca="false">K15*0.02%</f>
        <v>64655.495</v>
      </c>
      <c r="O15" s="6" t="n">
        <f aca="false">M15*0.00183%</f>
        <v>11711.50612875</v>
      </c>
      <c r="P15" s="6" t="n">
        <f aca="false">M15*0.0001%</f>
        <v>639.9730125</v>
      </c>
      <c r="Q15" s="6" t="n">
        <f aca="false">L15*0.002%</f>
        <v>6333.91075</v>
      </c>
      <c r="R15" s="6" t="n">
        <f aca="false">(O15+P15)*18%</f>
        <v>2223.266245425</v>
      </c>
      <c r="S15" s="6" t="n">
        <f aca="false">SUM(N15:R15)</f>
        <v>85564.151136675</v>
      </c>
      <c r="T15" s="6" t="n">
        <f aca="false">J15-S15</f>
        <v>6496373.34886333</v>
      </c>
    </row>
    <row r="16" customFormat="false" ht="15" hidden="false" customHeight="false" outlineLevel="0" collapsed="false">
      <c r="A16" s="3" t="n">
        <v>45621</v>
      </c>
      <c r="B16" s="4" t="s">
        <v>20</v>
      </c>
      <c r="C16" s="3" t="n">
        <v>45656</v>
      </c>
      <c r="D16" s="4" t="s">
        <v>21</v>
      </c>
      <c r="E16" s="4" t="s">
        <v>22</v>
      </c>
      <c r="F16" s="5" t="n">
        <v>27360</v>
      </c>
      <c r="G16" s="4" t="n">
        <v>12660</v>
      </c>
      <c r="H16" s="4" t="n">
        <v>12993</v>
      </c>
      <c r="I16" s="6" t="n">
        <f aca="false">IF(D16="Short",G16-H16,H16-G16)</f>
        <v>333</v>
      </c>
      <c r="J16" s="6" t="n">
        <f aca="false">I16*F16</f>
        <v>9110880</v>
      </c>
      <c r="K16" s="6" t="n">
        <f aca="false">IF(D16="Short",F16*G16,F16*H16)</f>
        <v>355488480</v>
      </c>
      <c r="L16" s="6" t="n">
        <f aca="false">IF(D16="Short",F16*H16,G16*F16)</f>
        <v>346377600</v>
      </c>
      <c r="M16" s="6" t="n">
        <f aca="false">K16+L16</f>
        <v>701866080</v>
      </c>
      <c r="N16" s="6" t="n">
        <f aca="false">K16*0.02%</f>
        <v>71097.696</v>
      </c>
      <c r="O16" s="6" t="n">
        <f aca="false">M16*0.00183%</f>
        <v>12844.149264</v>
      </c>
      <c r="P16" s="6" t="n">
        <f aca="false">M16*0.0001%</f>
        <v>701.86608</v>
      </c>
      <c r="Q16" s="6" t="n">
        <f aca="false">L16*0.002%</f>
        <v>6927.552</v>
      </c>
      <c r="R16" s="6" t="n">
        <f aca="false">(O16+P16)*18%</f>
        <v>2438.28276192</v>
      </c>
      <c r="S16" s="6" t="n">
        <f aca="false">SUM(N16:R16)</f>
        <v>94009.54610592</v>
      </c>
      <c r="T16" s="6" t="n">
        <f aca="false">J16-S16</f>
        <v>9016870.45389408</v>
      </c>
    </row>
    <row r="17" customFormat="false" ht="15" hidden="false" customHeight="false" outlineLevel="0" collapsed="false">
      <c r="A17" s="3" t="n">
        <v>45624</v>
      </c>
      <c r="B17" s="4" t="s">
        <v>23</v>
      </c>
      <c r="C17" s="3" t="n">
        <v>45652</v>
      </c>
      <c r="D17" s="4" t="s">
        <v>24</v>
      </c>
      <c r="E17" s="4" t="s">
        <v>22</v>
      </c>
      <c r="F17" s="5" t="n">
        <v>13250</v>
      </c>
      <c r="G17" s="4" t="n">
        <v>24111.85</v>
      </c>
      <c r="H17" s="4" t="n">
        <v>23749.8</v>
      </c>
      <c r="I17" s="6" t="n">
        <f aca="false">IF(D17="Short",G17-H17,H17-G17)</f>
        <v>362.049999999999</v>
      </c>
      <c r="J17" s="6" t="n">
        <f aca="false">I17*F17</f>
        <v>4797162.49999999</v>
      </c>
      <c r="K17" s="6" t="n">
        <f aca="false">IF(D17="Short",F17*G17,F17*H17)</f>
        <v>319482012.5</v>
      </c>
      <c r="L17" s="6" t="n">
        <f aca="false">IF(D17="Short",F17*H17,G17*F17)</f>
        <v>314684850</v>
      </c>
      <c r="M17" s="6" t="n">
        <f aca="false">K17+L17</f>
        <v>634166862.5</v>
      </c>
      <c r="N17" s="6" t="n">
        <f aca="false">K17*0.02%</f>
        <v>63896.4025</v>
      </c>
      <c r="O17" s="6" t="n">
        <f aca="false">M17*0.00183%</f>
        <v>11605.25358375</v>
      </c>
      <c r="P17" s="6" t="n">
        <f aca="false">M17*0.0001%</f>
        <v>634.1668625</v>
      </c>
      <c r="Q17" s="6" t="n">
        <f aca="false">L17*0.002%</f>
        <v>6293.697</v>
      </c>
      <c r="R17" s="6" t="n">
        <f aca="false">(O17+P17)*18%</f>
        <v>2203.095680325</v>
      </c>
      <c r="S17" s="6" t="n">
        <f aca="false">SUM(N17:R17)</f>
        <v>84632.615626575</v>
      </c>
      <c r="T17" s="6" t="n">
        <f aca="false">J17-S17</f>
        <v>4712529.88437342</v>
      </c>
    </row>
    <row r="18" customFormat="false" ht="15" hidden="false" customHeight="false" outlineLevel="0" collapsed="false">
      <c r="A18" s="3" t="n">
        <v>45656</v>
      </c>
      <c r="B18" s="4" t="s">
        <v>20</v>
      </c>
      <c r="C18" s="3" t="n">
        <v>45687</v>
      </c>
      <c r="D18" s="4" t="s">
        <v>24</v>
      </c>
      <c r="E18" s="4" t="s">
        <v>22</v>
      </c>
      <c r="F18" s="5" t="n">
        <v>23040</v>
      </c>
      <c r="G18" s="4" t="n">
        <v>12997.05</v>
      </c>
      <c r="H18" s="4" t="n">
        <v>11800.65</v>
      </c>
      <c r="I18" s="6" t="n">
        <f aca="false">IF(D18="Short",G18-H18,H18-G18)</f>
        <v>1196.4</v>
      </c>
      <c r="J18" s="6" t="n">
        <f aca="false">I18*F18</f>
        <v>27565056</v>
      </c>
      <c r="K18" s="6" t="n">
        <f aca="false">IF(D18="Short",F18*G18,F18*H18)</f>
        <v>299452032</v>
      </c>
      <c r="L18" s="6" t="n">
        <f aca="false">IF(D18="Short",F18*H18,G18*F18)</f>
        <v>271886976</v>
      </c>
      <c r="M18" s="6" t="n">
        <f aca="false">K18+L18</f>
        <v>571339008</v>
      </c>
      <c r="N18" s="6" t="n">
        <f aca="false">K18*0.02%</f>
        <v>59890.4064</v>
      </c>
      <c r="O18" s="6" t="n">
        <f aca="false">M18*0.00183%</f>
        <v>10455.5038464</v>
      </c>
      <c r="P18" s="6" t="n">
        <f aca="false">M18*0.0001%</f>
        <v>571.339008</v>
      </c>
      <c r="Q18" s="6" t="n">
        <f aca="false">L18*0.002%</f>
        <v>5437.73952</v>
      </c>
      <c r="R18" s="6" t="n">
        <f aca="false">(O18+P18)*18%</f>
        <v>1984.831713792</v>
      </c>
      <c r="S18" s="6" t="n">
        <f aca="false">SUM(N18:R18)</f>
        <v>78339.820488192</v>
      </c>
      <c r="T18" s="6" t="n">
        <f aca="false">J18-S18</f>
        <v>27486716.1795118</v>
      </c>
    </row>
    <row r="19" customFormat="false" ht="15" hidden="false" customHeight="false" outlineLevel="0" collapsed="false">
      <c r="A19" s="3" t="n">
        <v>45652</v>
      </c>
      <c r="B19" s="4" t="s">
        <v>23</v>
      </c>
      <c r="C19" s="3" t="n">
        <v>45687</v>
      </c>
      <c r="D19" s="4" t="s">
        <v>21</v>
      </c>
      <c r="E19" s="4" t="s">
        <v>22</v>
      </c>
      <c r="F19" s="5" t="n">
        <v>12525</v>
      </c>
      <c r="G19" s="4" t="n">
        <v>23925</v>
      </c>
      <c r="H19" s="4" t="n">
        <v>24281.45</v>
      </c>
      <c r="I19" s="6" t="n">
        <f aca="false">IF(D19="Short",G19-H19,H19-G19)</f>
        <v>356.450000000001</v>
      </c>
      <c r="J19" s="6" t="n">
        <f aca="false">I19*F19</f>
        <v>4464536.25000001</v>
      </c>
      <c r="K19" s="6" t="n">
        <f aca="false">IF(D19="Short",F19*G19,F19*H19)</f>
        <v>304125161.25</v>
      </c>
      <c r="L19" s="6" t="n">
        <f aca="false">IF(D19="Short",F19*H19,G19*F19)</f>
        <v>299660625</v>
      </c>
      <c r="M19" s="6" t="n">
        <f aca="false">K19+L19</f>
        <v>603785786.25</v>
      </c>
      <c r="N19" s="6" t="n">
        <f aca="false">K19*0.02%</f>
        <v>60825.03225</v>
      </c>
      <c r="O19" s="6" t="n">
        <f aca="false">M19*0.00183%</f>
        <v>11049.279888375</v>
      </c>
      <c r="P19" s="6" t="n">
        <f aca="false">M19*0.0001%</f>
        <v>603.78578625</v>
      </c>
      <c r="Q19" s="6" t="n">
        <f aca="false">L19*0.002%</f>
        <v>5993.2125</v>
      </c>
      <c r="R19" s="6" t="n">
        <f aca="false">(O19+P19)*18%</f>
        <v>2097.5518214325</v>
      </c>
      <c r="S19" s="6" t="n">
        <f aca="false">SUM(N19:R19)</f>
        <v>80568.8622460575</v>
      </c>
      <c r="T19" s="6" t="n">
        <f aca="false">J19-S19</f>
        <v>4383967.38775395</v>
      </c>
    </row>
    <row r="20" customFormat="false" ht="15" hidden="false" customHeight="false" outlineLevel="0" collapsed="false">
      <c r="A20" s="3" t="n">
        <v>45687</v>
      </c>
      <c r="B20" s="4" t="s">
        <v>20</v>
      </c>
      <c r="C20" s="3" t="n">
        <v>45715</v>
      </c>
      <c r="D20" s="4" t="s">
        <v>24</v>
      </c>
      <c r="E20" s="4" t="s">
        <v>22</v>
      </c>
      <c r="F20" s="5" t="n">
        <v>23040</v>
      </c>
      <c r="G20" s="4" t="n">
        <v>11845.7</v>
      </c>
      <c r="H20" s="4" t="n">
        <v>10965</v>
      </c>
      <c r="I20" s="6" t="n">
        <f aca="false">IF(D20="Short",G20-H20,H20-G20)</f>
        <v>880.700000000001</v>
      </c>
      <c r="J20" s="6" t="n">
        <f aca="false">I20*F20</f>
        <v>20291328</v>
      </c>
      <c r="K20" s="6" t="n">
        <f aca="false">IF(D20="Short",F20*G20,F20*H20)</f>
        <v>272924928</v>
      </c>
      <c r="L20" s="6" t="n">
        <f aca="false">IF(D20="Short",F20*H20,G20*F20)</f>
        <v>252633600</v>
      </c>
      <c r="M20" s="6" t="n">
        <f aca="false">K20+L20</f>
        <v>525558528</v>
      </c>
      <c r="N20" s="6" t="n">
        <f aca="false">K20*0.02%</f>
        <v>54584.9856</v>
      </c>
      <c r="O20" s="6" t="n">
        <f aca="false">M20*0.00183%</f>
        <v>9617.7210624</v>
      </c>
      <c r="P20" s="6" t="n">
        <f aca="false">M20*0.0001%</f>
        <v>525.558528</v>
      </c>
      <c r="Q20" s="6" t="n">
        <f aca="false">L20*0.002%</f>
        <v>5052.672</v>
      </c>
      <c r="R20" s="6" t="n">
        <f aca="false">(O20+P20)*18%</f>
        <v>1825.790326272</v>
      </c>
      <c r="S20" s="6" t="n">
        <f aca="false">SUM(N20:R20)</f>
        <v>71606.727516672</v>
      </c>
      <c r="T20" s="6" t="n">
        <f aca="false">J20-S20</f>
        <v>20219721.2724833</v>
      </c>
    </row>
    <row r="21" customFormat="false" ht="15" hidden="false" customHeight="false" outlineLevel="0" collapsed="false">
      <c r="A21" s="3" t="n">
        <v>45687</v>
      </c>
      <c r="B21" s="4" t="s">
        <v>23</v>
      </c>
      <c r="C21" s="3" t="n">
        <v>45715</v>
      </c>
      <c r="D21" s="4" t="s">
        <v>21</v>
      </c>
      <c r="E21" s="4" t="s">
        <v>22</v>
      </c>
      <c r="F21" s="5" t="n">
        <v>12525</v>
      </c>
      <c r="G21" s="4" t="n">
        <v>23405.1</v>
      </c>
      <c r="H21" s="4" t="n">
        <v>22546.75</v>
      </c>
      <c r="I21" s="6" t="n">
        <f aca="false">IF(D21="Short",G21-H21,H21-G21)</f>
        <v>-858.349999999999</v>
      </c>
      <c r="J21" s="6" t="n">
        <f aca="false">I21*F21</f>
        <v>-10750833.75</v>
      </c>
      <c r="K21" s="6" t="n">
        <f aca="false">IF(D21="Short",F21*G21,F21*H21)</f>
        <v>282398043.75</v>
      </c>
      <c r="L21" s="6" t="n">
        <f aca="false">IF(D21="Short",F21*H21,G21*F21)</f>
        <v>293148877.5</v>
      </c>
      <c r="M21" s="6" t="n">
        <f aca="false">K21+L21</f>
        <v>575546921.25</v>
      </c>
      <c r="N21" s="6" t="n">
        <f aca="false">K21*0.02%</f>
        <v>56479.60875</v>
      </c>
      <c r="O21" s="6" t="n">
        <f aca="false">M21*0.00183%</f>
        <v>10532.508658875</v>
      </c>
      <c r="P21" s="6" t="n">
        <f aca="false">M21*0.0001%</f>
        <v>575.54692125</v>
      </c>
      <c r="Q21" s="6" t="n">
        <f aca="false">L21*0.002%</f>
        <v>5862.97755</v>
      </c>
      <c r="R21" s="6" t="n">
        <f aca="false">(O21+P21)*18%</f>
        <v>1999.4500044225</v>
      </c>
      <c r="S21" s="6" t="n">
        <f aca="false">SUM(N21:R21)</f>
        <v>75450.0918845475</v>
      </c>
      <c r="T21" s="6" t="n">
        <f aca="false">J21-S21</f>
        <v>-10826283.8418845</v>
      </c>
    </row>
    <row r="22" customFormat="false" ht="15" hidden="false" customHeight="false" outlineLevel="0" collapsed="false">
      <c r="A22" s="3" t="n">
        <v>45715</v>
      </c>
      <c r="B22" s="4" t="s">
        <v>20</v>
      </c>
      <c r="C22" s="3" t="n">
        <v>45743</v>
      </c>
      <c r="D22" s="4" t="s">
        <v>21</v>
      </c>
      <c r="E22" s="4" t="s">
        <v>22</v>
      </c>
      <c r="F22" s="5" t="n">
        <v>27240</v>
      </c>
      <c r="G22" s="4" t="n">
        <v>11017.05</v>
      </c>
      <c r="H22" s="4" t="n">
        <v>11517.95</v>
      </c>
      <c r="I22" s="6" t="n">
        <f aca="false">IF(D22="Short",G22-H22,H22-G22)</f>
        <v>500.900000000001</v>
      </c>
      <c r="J22" s="6" t="n">
        <f aca="false">I22*F22</f>
        <v>13644516</v>
      </c>
      <c r="K22" s="6" t="n">
        <f aca="false">IF(D22="Short",F22*G22,F22*H22)</f>
        <v>313748958</v>
      </c>
      <c r="L22" s="6" t="n">
        <f aca="false">IF(D22="Short",F22*H22,G22*F22)</f>
        <v>300104442</v>
      </c>
      <c r="M22" s="6" t="n">
        <f aca="false">K22+L22</f>
        <v>613853400</v>
      </c>
      <c r="N22" s="6" t="n">
        <f aca="false">K22*0.02%</f>
        <v>62749.7916</v>
      </c>
      <c r="O22" s="6" t="n">
        <f aca="false">M22*0.00183%</f>
        <v>11233.51722</v>
      </c>
      <c r="P22" s="6" t="n">
        <f aca="false">M22*0.0001%</f>
        <v>613.8534</v>
      </c>
      <c r="Q22" s="6" t="n">
        <f aca="false">L22*0.002%</f>
        <v>6002.08884</v>
      </c>
      <c r="R22" s="6" t="n">
        <f aca="false">(O22+P22)*18%</f>
        <v>2132.5267116</v>
      </c>
      <c r="S22" s="6" t="n">
        <f aca="false">SUM(N22:R22)</f>
        <v>82731.7777716</v>
      </c>
      <c r="T22" s="6" t="n">
        <f aca="false">J22-S22</f>
        <v>13561784.2222284</v>
      </c>
    </row>
    <row r="23" customFormat="false" ht="15" hidden="false" customHeight="false" outlineLevel="0" collapsed="false">
      <c r="A23" s="3" t="n">
        <v>45715</v>
      </c>
      <c r="B23" s="4" t="s">
        <v>23</v>
      </c>
      <c r="C23" s="3" t="n">
        <v>45743</v>
      </c>
      <c r="D23" s="4" t="s">
        <v>24</v>
      </c>
      <c r="E23" s="4" t="s">
        <v>22</v>
      </c>
      <c r="F23" s="5" t="n">
        <v>13200</v>
      </c>
      <c r="G23" s="4" t="n">
        <v>22686.45</v>
      </c>
      <c r="H23" s="4" t="n">
        <v>23590.75</v>
      </c>
      <c r="I23" s="6" t="n">
        <f aca="false">IF(D23="Short",G23-H23,H23-G23)</f>
        <v>-904.299999999999</v>
      </c>
      <c r="J23" s="6" t="n">
        <f aca="false">I23*F23</f>
        <v>-11936760</v>
      </c>
      <c r="K23" s="6" t="n">
        <f aca="false">IF(D23="Short",F23*G23,F23*H23)</f>
        <v>299461140</v>
      </c>
      <c r="L23" s="6" t="n">
        <f aca="false">IF(D23="Short",F23*H23,G23*F23)</f>
        <v>311397900</v>
      </c>
      <c r="M23" s="6" t="n">
        <f aca="false">K23+L23</f>
        <v>610859040</v>
      </c>
      <c r="N23" s="6" t="n">
        <f aca="false">K23*0.02%</f>
        <v>59892.228</v>
      </c>
      <c r="O23" s="6" t="n">
        <f aca="false">M23*0.00183%</f>
        <v>11178.720432</v>
      </c>
      <c r="P23" s="6" t="n">
        <f aca="false">M23*0.0001%</f>
        <v>610.85904</v>
      </c>
      <c r="Q23" s="6" t="n">
        <f aca="false">L23*0.002%</f>
        <v>6227.958</v>
      </c>
      <c r="R23" s="6" t="n">
        <f aca="false">(O23+P23)*18%</f>
        <v>2122.12430496</v>
      </c>
      <c r="S23" s="6" t="n">
        <f aca="false">SUM(N23:R23)</f>
        <v>80031.88977696</v>
      </c>
      <c r="T23" s="6" t="n">
        <f aca="false">J23-S23</f>
        <v>-12016791.889777</v>
      </c>
    </row>
    <row r="24" customFormat="false" ht="15" hidden="false" customHeight="false" outlineLevel="0" collapsed="false">
      <c r="A24" s="3" t="n">
        <v>45743</v>
      </c>
      <c r="B24" s="4" t="s">
        <v>20</v>
      </c>
      <c r="C24" s="3" t="n">
        <v>45771</v>
      </c>
      <c r="D24" s="4" t="s">
        <v>21</v>
      </c>
      <c r="E24" s="4" t="s">
        <v>22</v>
      </c>
      <c r="F24" s="5" t="n">
        <v>27240</v>
      </c>
      <c r="G24" s="4" t="n">
        <v>11639</v>
      </c>
      <c r="H24" s="4" t="n">
        <v>12251</v>
      </c>
      <c r="I24" s="6" t="n">
        <f aca="false">IF(D24="Short",G24-H24,H24-G24)</f>
        <v>612</v>
      </c>
      <c r="J24" s="6" t="n">
        <f aca="false">I24*F24</f>
        <v>16670880</v>
      </c>
      <c r="K24" s="6" t="n">
        <f aca="false">IF(D24="Short",F24*G24,F24*H24)</f>
        <v>333717240</v>
      </c>
      <c r="L24" s="6" t="n">
        <f aca="false">IF(D24="Short",F24*H24,G24*F24)</f>
        <v>317046360</v>
      </c>
      <c r="M24" s="6" t="n">
        <f aca="false">K24+L24</f>
        <v>650763600</v>
      </c>
      <c r="N24" s="6" t="n">
        <f aca="false">K24*0.02%</f>
        <v>66743.448</v>
      </c>
      <c r="O24" s="6" t="n">
        <f aca="false">M24*0.00183%</f>
        <v>11908.97388</v>
      </c>
      <c r="P24" s="6" t="n">
        <f aca="false">M24*0.0001%</f>
        <v>650.7636</v>
      </c>
      <c r="Q24" s="6" t="n">
        <f aca="false">L24*0.002%</f>
        <v>6340.9272</v>
      </c>
      <c r="R24" s="6" t="n">
        <f aca="false">(O24+P24)*18%</f>
        <v>2260.7527464</v>
      </c>
      <c r="S24" s="6" t="n">
        <f aca="false">SUM(N24:R24)</f>
        <v>87904.8654264</v>
      </c>
      <c r="T24" s="6" t="n">
        <f aca="false">J24-S24</f>
        <v>16582975.1345736</v>
      </c>
    </row>
    <row r="25" customFormat="false" ht="15" hidden="false" customHeight="false" outlineLevel="0" collapsed="false">
      <c r="A25" s="3" t="n">
        <v>45743</v>
      </c>
      <c r="B25" s="4" t="s">
        <v>23</v>
      </c>
      <c r="C25" s="3" t="n">
        <v>45771</v>
      </c>
      <c r="D25" s="4" t="s">
        <v>24</v>
      </c>
      <c r="E25" s="4" t="s">
        <v>22</v>
      </c>
      <c r="F25" s="5" t="n">
        <v>13200</v>
      </c>
      <c r="G25" s="4" t="n">
        <v>23756.05</v>
      </c>
      <c r="H25" s="4" t="n">
        <v>24246.5</v>
      </c>
      <c r="I25" s="6" t="n">
        <f aca="false">IF(D25="Short",G25-H25,H25-G25)</f>
        <v>-490.450000000001</v>
      </c>
      <c r="J25" s="6" t="n">
        <f aca="false">I25*F25</f>
        <v>-6473940.00000001</v>
      </c>
      <c r="K25" s="6" t="n">
        <f aca="false">IF(D25="Short",F25*G25,F25*H25)</f>
        <v>313579860</v>
      </c>
      <c r="L25" s="6" t="n">
        <f aca="false">IF(D25="Short",F25*H25,G25*F25)</f>
        <v>320053800</v>
      </c>
      <c r="M25" s="6" t="n">
        <f aca="false">K25+L25</f>
        <v>633633660</v>
      </c>
      <c r="N25" s="6" t="n">
        <f aca="false">K25*0.02%</f>
        <v>62715.972</v>
      </c>
      <c r="O25" s="6" t="n">
        <f aca="false">M25*0.00183%</f>
        <v>11595.495978</v>
      </c>
      <c r="P25" s="6" t="n">
        <f aca="false">M25*0.0001%</f>
        <v>633.63366</v>
      </c>
      <c r="Q25" s="6" t="n">
        <f aca="false">L25*0.002%</f>
        <v>6401.076</v>
      </c>
      <c r="R25" s="6" t="n">
        <f aca="false">(O25+P25)*18%</f>
        <v>2201.24333484</v>
      </c>
      <c r="S25" s="6" t="n">
        <f aca="false">SUM(N25:R25)</f>
        <v>83547.42097284</v>
      </c>
      <c r="T25" s="6" t="n">
        <f aca="false">J25-S25</f>
        <v>-6557487.42097285</v>
      </c>
    </row>
    <row r="26" customFormat="false" ht="15" hidden="false" customHeight="false" outlineLevel="0" collapsed="false">
      <c r="A26" s="3" t="n">
        <v>45771</v>
      </c>
      <c r="B26" s="4" t="s">
        <v>20</v>
      </c>
      <c r="C26" s="3" t="n">
        <v>45806</v>
      </c>
      <c r="D26" s="4" t="s">
        <v>21</v>
      </c>
      <c r="E26" s="4" t="s">
        <v>22</v>
      </c>
      <c r="F26" s="5" t="n">
        <v>27160</v>
      </c>
      <c r="G26" s="4" t="n">
        <v>12272.8</v>
      </c>
      <c r="H26" s="4" t="n">
        <v>12702.6</v>
      </c>
      <c r="I26" s="6" t="n">
        <f aca="false">IF(D26="Short",G26-H26,H26-G26)</f>
        <v>429.800000000001</v>
      </c>
      <c r="J26" s="6" t="n">
        <f aca="false">I26*F26</f>
        <v>11673368</v>
      </c>
      <c r="K26" s="6" t="n">
        <f aca="false">IF(D26="Short",F26*G26,F26*H26)</f>
        <v>345002616</v>
      </c>
      <c r="L26" s="6" t="n">
        <f aca="false">IF(D26="Short",F26*H26,G26*F26)</f>
        <v>333329248</v>
      </c>
      <c r="M26" s="6" t="n">
        <f aca="false">K26+L26</f>
        <v>678331864</v>
      </c>
      <c r="N26" s="6" t="n">
        <f aca="false">K26*0.02%</f>
        <v>69000.5232</v>
      </c>
      <c r="O26" s="6" t="n">
        <f aca="false">M26*0.00183%</f>
        <v>12413.4731112</v>
      </c>
      <c r="P26" s="6" t="n">
        <f aca="false">M26*0.0001%</f>
        <v>678.331864</v>
      </c>
      <c r="Q26" s="6" t="n">
        <f aca="false">L26*0.002%</f>
        <v>6666.58496</v>
      </c>
      <c r="R26" s="6" t="n">
        <f aca="false">(O26+P26)*18%</f>
        <v>2356.524895536</v>
      </c>
      <c r="S26" s="6" t="n">
        <f aca="false">SUM(N26:R26)</f>
        <v>91115.438030736</v>
      </c>
      <c r="T26" s="6" t="n">
        <f aca="false">J26-S26</f>
        <v>11582252.5619693</v>
      </c>
    </row>
    <row r="27" customFormat="false" ht="15" hidden="false" customHeight="false" outlineLevel="0" collapsed="false">
      <c r="A27" s="3" t="n">
        <v>45771</v>
      </c>
      <c r="B27" s="4" t="s">
        <v>23</v>
      </c>
      <c r="C27" s="3" t="n">
        <v>45806</v>
      </c>
      <c r="D27" s="4" t="s">
        <v>24</v>
      </c>
      <c r="E27" s="4" t="s">
        <v>22</v>
      </c>
      <c r="F27" s="5" t="n">
        <v>13200</v>
      </c>
      <c r="G27" s="4" t="n">
        <v>24373.9</v>
      </c>
      <c r="H27" s="4" t="n">
        <v>24824.2</v>
      </c>
      <c r="I27" s="6" t="n">
        <f aca="false">IF(D27="Short",G27-H27,H27-G27)</f>
        <v>-450.299999999999</v>
      </c>
      <c r="J27" s="6" t="n">
        <f aca="false">I27*F27</f>
        <v>-5943959.99999999</v>
      </c>
      <c r="K27" s="6" t="n">
        <f aca="false">IF(D27="Short",F27*G27,F27*H27)</f>
        <v>321735480</v>
      </c>
      <c r="L27" s="6" t="n">
        <f aca="false">IF(D27="Short",F27*H27,G27*F27)</f>
        <v>327679440</v>
      </c>
      <c r="M27" s="6" t="n">
        <f aca="false">K27+L27</f>
        <v>649414920</v>
      </c>
      <c r="N27" s="6" t="n">
        <f aca="false">K27*0.02%</f>
        <v>64347.096</v>
      </c>
      <c r="O27" s="6" t="n">
        <f aca="false">M27*0.00183%</f>
        <v>11884.293036</v>
      </c>
      <c r="P27" s="6" t="n">
        <f aca="false">M27*0.0001%</f>
        <v>649.41492</v>
      </c>
      <c r="Q27" s="6" t="n">
        <f aca="false">L27*0.002%</f>
        <v>6553.5888</v>
      </c>
      <c r="R27" s="6" t="n">
        <f aca="false">(O27+P27)*18%</f>
        <v>2256.06743208</v>
      </c>
      <c r="S27" s="6" t="n">
        <f aca="false">SUM(N27:R27)</f>
        <v>85690.46018808</v>
      </c>
      <c r="T27" s="6" t="n">
        <f aca="false">J27-S27</f>
        <v>-6029650.46018807</v>
      </c>
    </row>
    <row r="28" customFormat="false" ht="15" hidden="false" customHeight="false" outlineLevel="0" collapsed="false">
      <c r="A28" s="3" t="n">
        <v>45806</v>
      </c>
      <c r="B28" s="4" t="s">
        <v>20</v>
      </c>
      <c r="C28" s="3" t="n">
        <v>45834</v>
      </c>
      <c r="D28" s="4" t="s">
        <v>21</v>
      </c>
      <c r="E28" s="4" t="s">
        <v>22</v>
      </c>
      <c r="F28" s="5" t="n">
        <v>27160</v>
      </c>
      <c r="G28" s="4" t="n">
        <v>12790</v>
      </c>
      <c r="H28" s="4" t="n">
        <v>13300.7</v>
      </c>
      <c r="I28" s="6" t="n">
        <f aca="false">IF(D28="Short",G28-H28,H28-G28)</f>
        <v>510.700000000001</v>
      </c>
      <c r="J28" s="6" t="n">
        <f aca="false">I28*F28</f>
        <v>13870612</v>
      </c>
      <c r="K28" s="6" t="n">
        <f aca="false">IF(D28="Short",F28*G28,F28*H28)</f>
        <v>361247012</v>
      </c>
      <c r="L28" s="6" t="n">
        <f aca="false">IF(D28="Short",F28*H28,G28*F28)</f>
        <v>347376400</v>
      </c>
      <c r="M28" s="6" t="n">
        <f aca="false">K28+L28</f>
        <v>708623412</v>
      </c>
      <c r="N28" s="6" t="n">
        <f aca="false">K28*0.02%</f>
        <v>72249.4024</v>
      </c>
      <c r="O28" s="6" t="n">
        <f aca="false">M28*0.00183%</f>
        <v>12967.8084396</v>
      </c>
      <c r="P28" s="6" t="n">
        <f aca="false">M28*0.0001%</f>
        <v>708.623412</v>
      </c>
      <c r="Q28" s="6" t="n">
        <f aca="false">L28*0.002%</f>
        <v>6947.528</v>
      </c>
      <c r="R28" s="6" t="n">
        <f aca="false">(O28+P28)*18%</f>
        <v>2461.757733288</v>
      </c>
      <c r="S28" s="6" t="n">
        <f aca="false">SUM(N28:R28)</f>
        <v>95335.119984888</v>
      </c>
      <c r="T28" s="6" t="n">
        <f aca="false">J28-S28</f>
        <v>13775276.8800151</v>
      </c>
    </row>
    <row r="29" customFormat="false" ht="15" hidden="false" customHeight="false" outlineLevel="0" collapsed="false">
      <c r="A29" s="3" t="n">
        <v>45806</v>
      </c>
      <c r="B29" s="4" t="s">
        <v>23</v>
      </c>
      <c r="C29" s="3" t="n">
        <v>45834</v>
      </c>
      <c r="D29" s="4" t="s">
        <v>24</v>
      </c>
      <c r="E29" s="4" t="s">
        <v>22</v>
      </c>
      <c r="F29" s="5" t="n">
        <v>13200</v>
      </c>
      <c r="G29" s="4" t="n">
        <v>24939.2</v>
      </c>
      <c r="H29" s="4" t="n">
        <v>25545.8</v>
      </c>
      <c r="I29" s="6" t="n">
        <f aca="false">IF(D29="Short",G29-H29,H29-G29)</f>
        <v>-606.599999999999</v>
      </c>
      <c r="J29" s="6" t="n">
        <f aca="false">I29*F29</f>
        <v>-8007119.99999998</v>
      </c>
      <c r="K29" s="6" t="n">
        <f aca="false">IF(D29="Short",F29*G29,F29*H29)</f>
        <v>329197440</v>
      </c>
      <c r="L29" s="6" t="n">
        <f aca="false">IF(D29="Short",F29*H29,G29*F29)</f>
        <v>337204560</v>
      </c>
      <c r="M29" s="6" t="n">
        <f aca="false">K29+L29</f>
        <v>666402000</v>
      </c>
      <c r="N29" s="6" t="n">
        <f aca="false">K29*0.02%</f>
        <v>65839.488</v>
      </c>
      <c r="O29" s="6" t="n">
        <f aca="false">M29*0.00183%</f>
        <v>12195.1566</v>
      </c>
      <c r="P29" s="6" t="n">
        <f aca="false">M29*0.0001%</f>
        <v>666.402</v>
      </c>
      <c r="Q29" s="6" t="n">
        <f aca="false">L29*0.002%</f>
        <v>6744.0912</v>
      </c>
      <c r="R29" s="6" t="n">
        <f aca="false">(O29+P29)*18%</f>
        <v>2315.080548</v>
      </c>
      <c r="S29" s="6" t="n">
        <f aca="false">SUM(N29:R29)</f>
        <v>87760.218348</v>
      </c>
      <c r="T29" s="6" t="n">
        <f aca="false">J29-S29</f>
        <v>-8094880.21834798</v>
      </c>
    </row>
    <row r="30" customFormat="false" ht="15" hidden="false" customHeight="false" outlineLevel="0" collapsed="false">
      <c r="A30" s="3" t="n">
        <v>45834</v>
      </c>
      <c r="B30" s="4" t="s">
        <v>20</v>
      </c>
      <c r="C30" s="3" t="n">
        <v>45869</v>
      </c>
      <c r="D30" s="4" t="s">
        <v>21</v>
      </c>
      <c r="E30" s="4" t="s">
        <v>22</v>
      </c>
      <c r="F30" s="5" t="n">
        <v>27160</v>
      </c>
      <c r="G30" s="4" t="n">
        <v>13382.05</v>
      </c>
      <c r="H30" s="4" t="n">
        <v>12869.55</v>
      </c>
      <c r="I30" s="6" t="n">
        <f aca="false">IF(D30="Short",G30-H30,H30-G30)</f>
        <v>-512.5</v>
      </c>
      <c r="J30" s="6" t="n">
        <f aca="false">I30*F30</f>
        <v>-13919500</v>
      </c>
      <c r="K30" s="6" t="n">
        <f aca="false">IF(D30="Short",F30*G30,F30*H30)</f>
        <v>349536978</v>
      </c>
      <c r="L30" s="6" t="n">
        <f aca="false">IF(D30="Short",F30*H30,G30*F30)</f>
        <v>363456478</v>
      </c>
      <c r="M30" s="6" t="n">
        <f aca="false">K30+L30</f>
        <v>712993456</v>
      </c>
      <c r="N30" s="6" t="n">
        <f aca="false">K30*0.02%</f>
        <v>69907.3956</v>
      </c>
      <c r="O30" s="6" t="n">
        <f aca="false">M30*0.00183%</f>
        <v>13047.7802448</v>
      </c>
      <c r="P30" s="6" t="n">
        <f aca="false">M30*0.0001%</f>
        <v>712.993456</v>
      </c>
      <c r="Q30" s="6" t="n">
        <f aca="false">L30*0.002%</f>
        <v>7269.12956</v>
      </c>
      <c r="R30" s="6" t="n">
        <f aca="false">(O30+P30)*18%</f>
        <v>2476.939266144</v>
      </c>
      <c r="S30" s="6" t="n">
        <f aca="false">SUM(N30:R30)</f>
        <v>93414.238126944</v>
      </c>
      <c r="T30" s="6" t="n">
        <f aca="false">J30-S30</f>
        <v>-14012914.2381269</v>
      </c>
    </row>
    <row r="31" customFormat="false" ht="15" hidden="false" customHeight="false" outlineLevel="0" collapsed="false">
      <c r="A31" s="3" t="n">
        <v>45834</v>
      </c>
      <c r="B31" s="4" t="s">
        <v>23</v>
      </c>
      <c r="C31" s="3" t="n">
        <v>45869</v>
      </c>
      <c r="D31" s="4" t="s">
        <v>24</v>
      </c>
      <c r="E31" s="4" t="s">
        <v>22</v>
      </c>
      <c r="F31" s="5" t="n">
        <v>13200</v>
      </c>
      <c r="G31" s="4" t="n">
        <v>25606.6</v>
      </c>
      <c r="H31" s="4" t="n">
        <v>24767.4</v>
      </c>
      <c r="I31" s="6" t="n">
        <f aca="false">IF(D31="Short",G31-H31,H31-G31)</f>
        <v>839.199999999997</v>
      </c>
      <c r="J31" s="6" t="n">
        <f aca="false">I31*F31</f>
        <v>11077440</v>
      </c>
      <c r="K31" s="6" t="n">
        <f aca="false">IF(D31="Short",F31*G31,F31*H31)</f>
        <v>338007120</v>
      </c>
      <c r="L31" s="6" t="n">
        <f aca="false">IF(D31="Short",F31*H31,G31*F31)</f>
        <v>326929680</v>
      </c>
      <c r="M31" s="6" t="n">
        <f aca="false">K31+L31</f>
        <v>664936800</v>
      </c>
      <c r="N31" s="6" t="n">
        <f aca="false">K31*0.02%</f>
        <v>67601.424</v>
      </c>
      <c r="O31" s="6" t="n">
        <f aca="false">M31*0.00183%</f>
        <v>12168.34344</v>
      </c>
      <c r="P31" s="6" t="n">
        <f aca="false">M31*0.0001%</f>
        <v>664.9368</v>
      </c>
      <c r="Q31" s="6" t="n">
        <f aca="false">L31*0.002%</f>
        <v>6538.5936</v>
      </c>
      <c r="R31" s="6" t="n">
        <f aca="false">(O31+P31)*18%</f>
        <v>2309.9904432</v>
      </c>
      <c r="S31" s="6" t="n">
        <f aca="false">SUM(N31:R31)</f>
        <v>89283.2882832</v>
      </c>
      <c r="T31" s="6" t="n">
        <f aca="false">J31-S31</f>
        <v>10988156.7117168</v>
      </c>
    </row>
    <row r="32" customFormat="false" ht="15" hidden="false" customHeight="false" outlineLevel="0" collapsed="false">
      <c r="A32" s="3" t="n">
        <v>45869</v>
      </c>
      <c r="B32" s="4" t="s">
        <v>20</v>
      </c>
      <c r="C32" s="3" t="n">
        <v>45897</v>
      </c>
      <c r="D32" s="4" t="s">
        <v>21</v>
      </c>
      <c r="E32" s="4" t="s">
        <v>22</v>
      </c>
      <c r="F32" s="5" t="n">
        <v>27160</v>
      </c>
      <c r="G32" s="4" t="n">
        <v>12911.3</v>
      </c>
      <c r="H32" s="4" t="n">
        <v>12536.6</v>
      </c>
      <c r="I32" s="6" t="n">
        <f aca="false">IF(D32="Short",G32-H32,H32-G32)</f>
        <v>-374.699999999999</v>
      </c>
      <c r="J32" s="6" t="n">
        <f aca="false">I32*F32</f>
        <v>-10176852</v>
      </c>
      <c r="K32" s="6" t="n">
        <f aca="false">IF(D32="Short",F32*G32,F32*H32)</f>
        <v>340494056</v>
      </c>
      <c r="L32" s="6" t="n">
        <f aca="false">IF(D32="Short",F32*H32,G32*F32)</f>
        <v>350670908</v>
      </c>
      <c r="M32" s="6" t="n">
        <f aca="false">K32+L32</f>
        <v>691164964</v>
      </c>
      <c r="N32" s="6" t="n">
        <f aca="false">K32*0.02%</f>
        <v>68098.8112</v>
      </c>
      <c r="O32" s="6" t="n">
        <f aca="false">M32*0.00183%</f>
        <v>12648.3188412</v>
      </c>
      <c r="P32" s="6" t="n">
        <f aca="false">M32*0.0001%</f>
        <v>691.164964</v>
      </c>
      <c r="Q32" s="6" t="n">
        <f aca="false">L32*0.002%</f>
        <v>7013.41816</v>
      </c>
      <c r="R32" s="6" t="n">
        <f aca="false">(O32+P32)*18%</f>
        <v>2401.107084936</v>
      </c>
      <c r="S32" s="6" t="n">
        <f aca="false">SUM(N32:R32)</f>
        <v>90852.820250136</v>
      </c>
      <c r="T32" s="6" t="n">
        <f aca="false">J32-S32</f>
        <v>-10267704.8202501</v>
      </c>
    </row>
    <row r="33" customFormat="false" ht="15" hidden="false" customHeight="false" outlineLevel="0" collapsed="false">
      <c r="A33" s="3" t="n">
        <v>45869</v>
      </c>
      <c r="B33" s="4" t="s">
        <v>23</v>
      </c>
      <c r="C33" s="3" t="n">
        <v>45897</v>
      </c>
      <c r="D33" s="4" t="s">
        <v>24</v>
      </c>
      <c r="E33" s="4" t="s">
        <v>22</v>
      </c>
      <c r="F33" s="5" t="n">
        <v>13200</v>
      </c>
      <c r="G33" s="4" t="n">
        <v>24860</v>
      </c>
      <c r="H33" s="4" t="n">
        <v>24494.6</v>
      </c>
      <c r="I33" s="6" t="n">
        <f aca="false">IF(D33="Short",G33-H33,H33-G33)</f>
        <v>365.400000000001</v>
      </c>
      <c r="J33" s="6" t="n">
        <f aca="false">I33*F33</f>
        <v>4823280.00000002</v>
      </c>
      <c r="K33" s="6" t="n">
        <f aca="false">IF(D33="Short",F33*G33,F33*H33)</f>
        <v>328152000</v>
      </c>
      <c r="L33" s="6" t="n">
        <f aca="false">IF(D33="Short",F33*H33,G33*F33)</f>
        <v>323328720</v>
      </c>
      <c r="M33" s="6" t="n">
        <f aca="false">K33+L33</f>
        <v>651480720</v>
      </c>
      <c r="N33" s="6" t="n">
        <f aca="false">K33*0.02%</f>
        <v>65630.4</v>
      </c>
      <c r="O33" s="6" t="n">
        <f aca="false">M33*0.00183%</f>
        <v>11922.097176</v>
      </c>
      <c r="P33" s="6" t="n">
        <f aca="false">M33*0.0001%</f>
        <v>651.48072</v>
      </c>
      <c r="Q33" s="6" t="n">
        <f aca="false">L33*0.002%</f>
        <v>6466.5744</v>
      </c>
      <c r="R33" s="6" t="n">
        <f aca="false">(O33+P33)*18%</f>
        <v>2263.24402128</v>
      </c>
      <c r="S33" s="6" t="n">
        <f aca="false">SUM(N33:R33)</f>
        <v>86933.79631728</v>
      </c>
      <c r="T33" s="6" t="n">
        <f aca="false">J33-S33</f>
        <v>4736346.20368274</v>
      </c>
    </row>
    <row r="34" customFormat="false" ht="15" hidden="false" customHeight="false" outlineLevel="0" collapsed="false">
      <c r="A34" s="3" t="n">
        <v>45897</v>
      </c>
      <c r="B34" s="4" t="s">
        <v>20</v>
      </c>
      <c r="C34" s="3" t="n">
        <v>45930</v>
      </c>
      <c r="D34" s="4" t="s">
        <v>21</v>
      </c>
      <c r="E34" s="4" t="s">
        <v>22</v>
      </c>
      <c r="F34" s="5" t="n">
        <v>27160</v>
      </c>
      <c r="G34" s="4" t="n">
        <v>12590.35</v>
      </c>
      <c r="H34" s="4" t="n">
        <v>12600</v>
      </c>
      <c r="I34" s="6" t="n">
        <f aca="false">IF(D34="Short",G34-H34,H34-G34)</f>
        <v>9.64999999999964</v>
      </c>
      <c r="J34" s="6" t="n">
        <f aca="false">I34*F34</f>
        <v>262093.99999999</v>
      </c>
      <c r="K34" s="6" t="n">
        <f aca="false">IF(D34="Short",F34*G34,F34*H34)</f>
        <v>342216000</v>
      </c>
      <c r="L34" s="6" t="n">
        <f aca="false">IF(D34="Short",F34*H34,G34*F34)</f>
        <v>341953906</v>
      </c>
      <c r="M34" s="6" t="n">
        <f aca="false">K34+L34</f>
        <v>684169906</v>
      </c>
      <c r="N34" s="6" t="n">
        <f aca="false">K34*0.02%</f>
        <v>68443.2</v>
      </c>
      <c r="O34" s="6" t="n">
        <f aca="false">M34*0.00183%</f>
        <v>12520.3092798</v>
      </c>
      <c r="P34" s="6" t="n">
        <f aca="false">M34*0.0001%</f>
        <v>684.169906</v>
      </c>
      <c r="Q34" s="6" t="n">
        <f aca="false">L34*0.002%</f>
        <v>6839.07812</v>
      </c>
      <c r="R34" s="6" t="n">
        <f aca="false">(O34+P34)*18%</f>
        <v>2376.806253444</v>
      </c>
      <c r="S34" s="6" t="n">
        <f aca="false">SUM(N34:R34)</f>
        <v>90863.563559244</v>
      </c>
      <c r="T34" s="6" t="n">
        <f aca="false">J34-S34</f>
        <v>171230.436440746</v>
      </c>
    </row>
    <row r="35" customFormat="false" ht="15" hidden="false" customHeight="false" outlineLevel="0" collapsed="false">
      <c r="A35" s="3" t="n">
        <v>45897</v>
      </c>
      <c r="B35" s="4" t="s">
        <v>23</v>
      </c>
      <c r="C35" s="3" t="n">
        <v>45930</v>
      </c>
      <c r="D35" s="4" t="s">
        <v>24</v>
      </c>
      <c r="E35" s="4" t="s">
        <v>22</v>
      </c>
      <c r="F35" s="5" t="n">
        <v>13200</v>
      </c>
      <c r="G35" s="4" t="n">
        <v>24646.6</v>
      </c>
      <c r="H35" s="4" t="n">
        <v>24609</v>
      </c>
      <c r="I35" s="6" t="n">
        <f aca="false">IF(D35="Short",G35-H35,H35-G35)</f>
        <v>37.5999999999985</v>
      </c>
      <c r="J35" s="6" t="n">
        <f aca="false">I35*F35</f>
        <v>496319.999999981</v>
      </c>
      <c r="K35" s="6" t="n">
        <f aca="false">IF(D35="Short",F35*G35,F35*H35)</f>
        <v>325335120</v>
      </c>
      <c r="L35" s="6" t="n">
        <f aca="false">IF(D35="Short",F35*H35,G35*F35)</f>
        <v>324838800</v>
      </c>
      <c r="M35" s="6" t="n">
        <f aca="false">K35+L35</f>
        <v>650173920</v>
      </c>
      <c r="N35" s="6" t="n">
        <f aca="false">K35*0.02%</f>
        <v>65067.024</v>
      </c>
      <c r="O35" s="6" t="n">
        <f aca="false">M35*0.00183%</f>
        <v>11898.182736</v>
      </c>
      <c r="P35" s="6" t="n">
        <f aca="false">M35*0.0001%</f>
        <v>650.17392</v>
      </c>
      <c r="Q35" s="6" t="n">
        <f aca="false">L35*0.002%</f>
        <v>6496.776</v>
      </c>
      <c r="R35" s="6" t="n">
        <f aca="false">(O35+P35)*18%</f>
        <v>2258.70419808</v>
      </c>
      <c r="S35" s="6" t="n">
        <f aca="false">SUM(N35:R35)</f>
        <v>86370.86085408</v>
      </c>
      <c r="T35" s="6" t="n">
        <f aca="false">J35-S35</f>
        <v>409949.139145901</v>
      </c>
    </row>
    <row r="36" customFormat="false" ht="15" hidden="false" customHeight="false" outlineLevel="0" collapsed="false">
      <c r="A36" s="3" t="n">
        <v>45930</v>
      </c>
      <c r="B36" s="4" t="s">
        <v>20</v>
      </c>
      <c r="C36" s="3" t="n">
        <v>45958</v>
      </c>
      <c r="D36" s="4" t="s">
        <v>21</v>
      </c>
      <c r="E36" s="4" t="s">
        <v>22</v>
      </c>
      <c r="F36" s="5" t="n">
        <v>27160</v>
      </c>
      <c r="G36" s="4" t="n">
        <v>12663.3</v>
      </c>
      <c r="H36" s="4" t="n">
        <v>13366</v>
      </c>
      <c r="I36" s="6" t="n">
        <f aca="false">IF(D36="Short",G36-H36,H36-G36)</f>
        <v>702.700000000001</v>
      </c>
      <c r="J36" s="6" t="n">
        <f aca="false">I36*F36</f>
        <v>19085332</v>
      </c>
      <c r="K36" s="6" t="n">
        <f aca="false">IF(D36="Short",F36*G36,F36*H36)</f>
        <v>363020560</v>
      </c>
      <c r="L36" s="6" t="n">
        <f aca="false">IF(D36="Short",F36*H36,G36*F36)</f>
        <v>343935228</v>
      </c>
      <c r="M36" s="6" t="n">
        <f aca="false">K36+L36</f>
        <v>706955788</v>
      </c>
      <c r="N36" s="6" t="n">
        <f aca="false">K36*0.02%</f>
        <v>72604.112</v>
      </c>
      <c r="O36" s="6" t="n">
        <f aca="false">M36*0.00183%</f>
        <v>12937.2909204</v>
      </c>
      <c r="P36" s="6" t="n">
        <f aca="false">M36*0.0001%</f>
        <v>706.955788</v>
      </c>
      <c r="Q36" s="6" t="n">
        <f aca="false">L36*0.002%</f>
        <v>6878.70456</v>
      </c>
      <c r="R36" s="6" t="n">
        <f aca="false">(O36+P36)*18%</f>
        <v>2455.964407512</v>
      </c>
      <c r="S36" s="6" t="n">
        <f aca="false">SUM(N36:R36)</f>
        <v>95583.027675912</v>
      </c>
      <c r="T36" s="6" t="n">
        <f aca="false">J36-S36</f>
        <v>18989748.9723241</v>
      </c>
    </row>
    <row r="37" customFormat="false" ht="15" hidden="false" customHeight="false" outlineLevel="0" collapsed="false">
      <c r="A37" s="3" t="n">
        <v>45930</v>
      </c>
      <c r="B37" s="4" t="s">
        <v>23</v>
      </c>
      <c r="C37" s="3" t="n">
        <v>45958</v>
      </c>
      <c r="D37" s="4" t="s">
        <v>24</v>
      </c>
      <c r="E37" s="4" t="s">
        <v>22</v>
      </c>
      <c r="F37" s="5" t="n">
        <v>13200</v>
      </c>
      <c r="G37" s="4" t="n">
        <v>24771.2</v>
      </c>
      <c r="H37" s="4" t="n">
        <v>25940</v>
      </c>
      <c r="I37" s="6" t="n">
        <f aca="false">IF(D37="Short",G37-H37,H37-G37)</f>
        <v>-1168.8</v>
      </c>
      <c r="J37" s="6" t="n">
        <f aca="false">I37*F37</f>
        <v>-15428160</v>
      </c>
      <c r="K37" s="6" t="n">
        <f aca="false">IF(D37="Short",F37*G37,F37*H37)</f>
        <v>326979840</v>
      </c>
      <c r="L37" s="6" t="n">
        <f aca="false">IF(D37="Short",F37*H37,G37*F37)</f>
        <v>342408000</v>
      </c>
      <c r="M37" s="6" t="n">
        <f aca="false">K37+L37</f>
        <v>669387840</v>
      </c>
      <c r="N37" s="6" t="n">
        <f aca="false">K37*0.02%</f>
        <v>65395.968</v>
      </c>
      <c r="O37" s="6" t="n">
        <f aca="false">M37*0.00183%</f>
        <v>12249.797472</v>
      </c>
      <c r="P37" s="6" t="n">
        <f aca="false">M37*0.0001%</f>
        <v>669.38784</v>
      </c>
      <c r="Q37" s="6" t="n">
        <f aca="false">L37*0.002%</f>
        <v>6848.16</v>
      </c>
      <c r="R37" s="6" t="n">
        <f aca="false">(O37+P37)*18%</f>
        <v>2325.45335616</v>
      </c>
      <c r="S37" s="6" t="n">
        <f aca="false">SUM(N37:R37)</f>
        <v>87488.76666816</v>
      </c>
      <c r="T37" s="6" t="n">
        <f aca="false">J37-S37</f>
        <v>-15515648.7666682</v>
      </c>
    </row>
    <row r="38" customFormat="false" ht="15" hidden="false" customHeight="false" outlineLevel="0" collapsed="false">
      <c r="A38" s="3" t="n">
        <v>45958</v>
      </c>
      <c r="B38" s="4" t="s">
        <v>20</v>
      </c>
      <c r="C38" s="3" t="n">
        <v>45986</v>
      </c>
      <c r="D38" s="4" t="s">
        <v>21</v>
      </c>
      <c r="E38" s="4" t="s">
        <v>22</v>
      </c>
      <c r="F38" s="5" t="n">
        <v>27160</v>
      </c>
      <c r="G38" s="4" t="n">
        <v>13443.45</v>
      </c>
      <c r="H38" s="4" t="n">
        <v>13809.65</v>
      </c>
      <c r="I38" s="6" t="n">
        <f aca="false">IF(D38="Short",G38-H38,H38-G38)</f>
        <v>366.199999999999</v>
      </c>
      <c r="J38" s="6" t="n">
        <f aca="false">I38*F38</f>
        <v>9945991.99999997</v>
      </c>
      <c r="K38" s="6" t="n">
        <f aca="false">IF(D38="Short",F38*G38,F38*H38)</f>
        <v>375070094</v>
      </c>
      <c r="L38" s="6" t="n">
        <f aca="false">IF(D38="Short",F38*H38,G38*F38)</f>
        <v>365124102</v>
      </c>
      <c r="M38" s="6" t="n">
        <f aca="false">K38+L38</f>
        <v>740194196</v>
      </c>
      <c r="N38" s="6" t="n">
        <f aca="false">K38*0.02%</f>
        <v>75014.0188</v>
      </c>
      <c r="O38" s="6" t="n">
        <f aca="false">M38*0.00183%</f>
        <v>13545.5537868</v>
      </c>
      <c r="P38" s="6" t="n">
        <f aca="false">M38*0.0001%</f>
        <v>740.194196</v>
      </c>
      <c r="Q38" s="6" t="n">
        <f aca="false">L38*0.002%</f>
        <v>7302.48204</v>
      </c>
      <c r="R38" s="6" t="n">
        <f aca="false">(O38+P38)*18%</f>
        <v>2571.434636904</v>
      </c>
      <c r="S38" s="6" t="n">
        <f aca="false">SUM(N38:R38)</f>
        <v>99173.683459704</v>
      </c>
      <c r="T38" s="6" t="n">
        <f aca="false">J38-S38</f>
        <v>9846818.31654027</v>
      </c>
    </row>
    <row r="39" customFormat="false" ht="15" hidden="false" customHeight="false" outlineLevel="0" collapsed="false">
      <c r="A39" s="3" t="n">
        <v>45958</v>
      </c>
      <c r="B39" s="4" t="s">
        <v>23</v>
      </c>
      <c r="C39" s="3" t="n">
        <v>45986</v>
      </c>
      <c r="D39" s="4" t="s">
        <v>24</v>
      </c>
      <c r="E39" s="4" t="s">
        <v>22</v>
      </c>
      <c r="F39" s="5" t="n">
        <v>13200</v>
      </c>
      <c r="G39" s="4" t="n">
        <v>26099</v>
      </c>
      <c r="H39" s="4" t="n">
        <v>25889.9</v>
      </c>
      <c r="I39" s="6" t="n">
        <f aca="false">IF(D39="Short",G39-H39,H39-G39)</f>
        <v>209.099999999999</v>
      </c>
      <c r="J39" s="6" t="n">
        <f aca="false">I39*F39</f>
        <v>2760119.99999998</v>
      </c>
      <c r="K39" s="6" t="n">
        <f aca="false">IF(D39="Short",F39*G39,F39*H39)</f>
        <v>344506800</v>
      </c>
      <c r="L39" s="6" t="n">
        <f aca="false">IF(D39="Short",F39*H39,G39*F39)</f>
        <v>341746680</v>
      </c>
      <c r="M39" s="6" t="n">
        <f aca="false">K39+L39</f>
        <v>686253480</v>
      </c>
      <c r="N39" s="6" t="n">
        <f aca="false">K39*0.02%</f>
        <v>68901.36</v>
      </c>
      <c r="O39" s="6" t="n">
        <f aca="false">M39*0.00183%</f>
        <v>12558.438684</v>
      </c>
      <c r="P39" s="6" t="n">
        <f aca="false">M39*0.0001%</f>
        <v>686.25348</v>
      </c>
      <c r="Q39" s="6" t="n">
        <f aca="false">L39*0.002%</f>
        <v>6834.9336</v>
      </c>
      <c r="R39" s="6" t="n">
        <f aca="false">(O39+P39)*18%</f>
        <v>2384.04458952</v>
      </c>
      <c r="S39" s="6" t="n">
        <f aca="false">SUM(N39:R39)</f>
        <v>91365.03035352</v>
      </c>
      <c r="T39" s="6" t="n">
        <f aca="false">J39-S39</f>
        <v>2668754.96964646</v>
      </c>
    </row>
    <row r="40" customFormat="false" ht="15" hidden="false" customHeight="false" outlineLevel="0" collapsed="false">
      <c r="A40" s="3" t="n">
        <v>45986</v>
      </c>
      <c r="B40" s="4" t="s">
        <v>20</v>
      </c>
      <c r="C40" s="3" t="n">
        <v>46021</v>
      </c>
      <c r="D40" s="4" t="s">
        <v>21</v>
      </c>
      <c r="E40" s="4" t="s">
        <v>22</v>
      </c>
      <c r="F40" s="5" t="n">
        <v>27160</v>
      </c>
      <c r="G40" s="4" t="n">
        <v>13901.8</v>
      </c>
      <c r="H40" s="4" t="n">
        <v>13600</v>
      </c>
      <c r="I40" s="6" t="n">
        <f aca="false">IF(D40="Short",G40-H40,H40-G40)</f>
        <v>-301.799999999999</v>
      </c>
      <c r="J40" s="6" t="n">
        <f aca="false">I40*F40</f>
        <v>-8196887.99999998</v>
      </c>
      <c r="K40" s="6" t="n">
        <f aca="false">IF(D40="Short",F40*G40,F40*H40)</f>
        <v>369376000</v>
      </c>
      <c r="L40" s="6" t="n">
        <f aca="false">IF(D40="Short",F40*H40,G40*F40)</f>
        <v>377572888</v>
      </c>
      <c r="M40" s="6" t="n">
        <f aca="false">K40+L40</f>
        <v>746948888</v>
      </c>
      <c r="N40" s="6" t="n">
        <f aca="false">K40*0.02%</f>
        <v>73875.2</v>
      </c>
      <c r="O40" s="6" t="n">
        <f aca="false">M40*0.00183%</f>
        <v>13669.1646504</v>
      </c>
      <c r="P40" s="6" t="n">
        <f aca="false">M40*0.0001%</f>
        <v>746.948888</v>
      </c>
      <c r="Q40" s="6" t="n">
        <f aca="false">L40*0.002%</f>
        <v>7551.45776</v>
      </c>
      <c r="R40" s="6" t="n">
        <f aca="false">(O40+P40)*18%</f>
        <v>2594.900436912</v>
      </c>
      <c r="S40" s="6" t="n">
        <f aca="false">SUM(N40:R40)</f>
        <v>98437.671735312</v>
      </c>
      <c r="T40" s="6" t="n">
        <f aca="false">J40-S40</f>
        <v>-8295325.67173529</v>
      </c>
    </row>
    <row r="41" customFormat="false" ht="15" hidden="false" customHeight="false" outlineLevel="0" collapsed="false">
      <c r="A41" s="3" t="n">
        <v>45986</v>
      </c>
      <c r="B41" s="4" t="s">
        <v>23</v>
      </c>
      <c r="C41" s="3" t="n">
        <v>46021</v>
      </c>
      <c r="D41" s="4" t="s">
        <v>24</v>
      </c>
      <c r="E41" s="4" t="s">
        <v>22</v>
      </c>
      <c r="F41" s="5" t="n">
        <v>13200</v>
      </c>
      <c r="G41" s="4" t="n">
        <v>26059.9</v>
      </c>
      <c r="H41" s="4" t="n">
        <v>25936.7</v>
      </c>
      <c r="I41" s="6" t="n">
        <f aca="false">IF(D41="Short",G41-H41,H41-G41)</f>
        <v>123.200000000001</v>
      </c>
      <c r="J41" s="6" t="n">
        <f aca="false">I41*F41</f>
        <v>1626240.00000001</v>
      </c>
      <c r="K41" s="6" t="n">
        <f aca="false">IF(D41="Short",F41*G41,F41*H41)</f>
        <v>343990680</v>
      </c>
      <c r="L41" s="6" t="n">
        <f aca="false">IF(D41="Short",F41*H41,G41*F41)</f>
        <v>342364440</v>
      </c>
      <c r="M41" s="6" t="n">
        <f aca="false">K41+L41</f>
        <v>686355120</v>
      </c>
      <c r="N41" s="6" t="n">
        <f aca="false">K41*0.02%</f>
        <v>68798.136</v>
      </c>
      <c r="O41" s="6" t="n">
        <f aca="false">M41*0.00183%</f>
        <v>12560.298696</v>
      </c>
      <c r="P41" s="6" t="n">
        <f aca="false">M41*0.0001%</f>
        <v>686.35512</v>
      </c>
      <c r="Q41" s="6" t="n">
        <f aca="false">L41*0.002%</f>
        <v>6847.2888</v>
      </c>
      <c r="R41" s="6" t="n">
        <f aca="false">(O41+P41)*18%</f>
        <v>2384.39768688</v>
      </c>
      <c r="S41" s="6" t="n">
        <f aca="false">SUM(N41:R41)</f>
        <v>91276.47630288</v>
      </c>
      <c r="T41" s="6" t="n">
        <f aca="false">J41-S41</f>
        <v>1534963.52369713</v>
      </c>
    </row>
    <row r="42" customFormat="false" ht="15" hidden="false" customHeight="false" outlineLevel="0" collapsed="false">
      <c r="A42" s="3" t="n">
        <v>46021</v>
      </c>
      <c r="B42" s="4" t="s">
        <v>20</v>
      </c>
      <c r="C42" s="3" t="n">
        <v>46049</v>
      </c>
      <c r="D42" s="4" t="s">
        <v>21</v>
      </c>
      <c r="E42" s="4" t="s">
        <v>22</v>
      </c>
      <c r="F42" s="5" t="n">
        <v>27000</v>
      </c>
      <c r="G42" s="4" t="n">
        <v>13667.55</v>
      </c>
      <c r="H42" s="4" t="n">
        <v>13120.95</v>
      </c>
      <c r="I42" s="6" t="n">
        <f aca="false">IF(D42="Short",G42-H42,H42-G42)</f>
        <v>-546.599999999999</v>
      </c>
      <c r="J42" s="6" t="n">
        <f aca="false">I42*F42</f>
        <v>-14758200</v>
      </c>
      <c r="K42" s="6" t="n">
        <f aca="false">IF(D42="Short",F42*G42,F42*H42)</f>
        <v>354265650</v>
      </c>
      <c r="L42" s="6" t="n">
        <f aca="false">IF(D42="Short",F42*H42,G42*F42)</f>
        <v>369023850</v>
      </c>
      <c r="M42" s="6" t="n">
        <f aca="false">K42+L42</f>
        <v>723289500</v>
      </c>
      <c r="N42" s="6" t="n">
        <f aca="false">K42*0.02%</f>
        <v>70853.13</v>
      </c>
      <c r="O42" s="6" t="n">
        <f aca="false">M42*0.00183%</f>
        <v>13236.19785</v>
      </c>
      <c r="P42" s="6" t="n">
        <f aca="false">M42*0.0001%</f>
        <v>723.2895</v>
      </c>
      <c r="Q42" s="6" t="n">
        <f aca="false">L42*0.002%</f>
        <v>7380.477</v>
      </c>
      <c r="R42" s="6" t="n">
        <f aca="false">(O42+P42)*18%</f>
        <v>2512.707723</v>
      </c>
      <c r="S42" s="6" t="n">
        <f aca="false">SUM(N42:R42)</f>
        <v>94705.802073</v>
      </c>
      <c r="T42" s="6" t="n">
        <f aca="false">J42-S42</f>
        <v>-14852905.802073</v>
      </c>
    </row>
    <row r="43" customFormat="false" ht="15" hidden="false" customHeight="false" outlineLevel="0" collapsed="false">
      <c r="A43" s="3" t="n">
        <v>46021</v>
      </c>
      <c r="B43" s="4" t="s">
        <v>23</v>
      </c>
      <c r="C43" s="3" t="n">
        <v>46049</v>
      </c>
      <c r="D43" s="4" t="s">
        <v>24</v>
      </c>
      <c r="E43" s="4" t="s">
        <v>22</v>
      </c>
      <c r="F43" s="5" t="n">
        <v>13130</v>
      </c>
      <c r="G43" s="4" t="n">
        <v>26117.5</v>
      </c>
      <c r="H43" s="4" t="n">
        <v>25174</v>
      </c>
      <c r="I43" s="6" t="n">
        <f aca="false">IF(D43="Short",G43-H43,H43-G43)</f>
        <v>943.5</v>
      </c>
      <c r="J43" s="6" t="n">
        <f aca="false">I43*F43</f>
        <v>12388155</v>
      </c>
      <c r="K43" s="6" t="n">
        <f aca="false">IF(D43="Short",F43*G43,F43*H43)</f>
        <v>342922775</v>
      </c>
      <c r="L43" s="6" t="n">
        <f aca="false">IF(D43="Short",F43*H43,G43*F43)</f>
        <v>330534620</v>
      </c>
      <c r="M43" s="6" t="n">
        <f aca="false">K43+L43</f>
        <v>673457395</v>
      </c>
      <c r="N43" s="6" t="n">
        <f aca="false">K43*0.02%</f>
        <v>68584.555</v>
      </c>
      <c r="O43" s="6" t="n">
        <f aca="false">M43*0.00183%</f>
        <v>12324.2703285</v>
      </c>
      <c r="P43" s="6" t="n">
        <f aca="false">M43*0.0001%</f>
        <v>673.457395</v>
      </c>
      <c r="Q43" s="6" t="n">
        <f aca="false">L43*0.002%</f>
        <v>6610.6924</v>
      </c>
      <c r="R43" s="6" t="n">
        <f aca="false">(O43+P43)*18%</f>
        <v>2339.59099023</v>
      </c>
      <c r="S43" s="6" t="n">
        <f aca="false">SUM(N43:R43)</f>
        <v>90532.56611373</v>
      </c>
      <c r="T43" s="6" t="n">
        <f aca="false">J43-S43</f>
        <v>12297622.4338863</v>
      </c>
    </row>
    <row r="44" customFormat="false" ht="15" hidden="false" customHeight="false" outlineLevel="0" collapsed="false">
      <c r="A44" s="3" t="n">
        <v>46049</v>
      </c>
      <c r="B44" s="4" t="s">
        <v>20</v>
      </c>
      <c r="C44" s="3" t="n">
        <v>46077</v>
      </c>
      <c r="D44" s="4" t="s">
        <v>21</v>
      </c>
      <c r="E44" s="4" t="s">
        <v>22</v>
      </c>
      <c r="F44" s="5" t="n">
        <v>27000</v>
      </c>
      <c r="G44" s="4" t="n">
        <v>13191.85</v>
      </c>
      <c r="H44" s="4" t="n">
        <v>13441.4</v>
      </c>
      <c r="I44" s="6" t="n">
        <f aca="false">IF(D44="Short",G44-H44,H44-G44)</f>
        <v>249.549999999999</v>
      </c>
      <c r="J44" s="6" t="n">
        <f aca="false">I44*F44</f>
        <v>6737849.99999998</v>
      </c>
      <c r="K44" s="6" t="n">
        <f aca="false">IF(D44="Short",F44*G44,F44*H44)</f>
        <v>362917800</v>
      </c>
      <c r="L44" s="6" t="n">
        <f aca="false">IF(D44="Short",F44*H44,G44*F44)</f>
        <v>356179950</v>
      </c>
      <c r="M44" s="6" t="n">
        <f aca="false">K44+L44</f>
        <v>719097750</v>
      </c>
      <c r="N44" s="6" t="n">
        <f aca="false">K44*0.02%</f>
        <v>72583.56</v>
      </c>
      <c r="O44" s="6" t="n">
        <f aca="false">M44*0.00183%</f>
        <v>13159.488825</v>
      </c>
      <c r="P44" s="6" t="n">
        <f aca="false">M44*0.0001%</f>
        <v>719.09775</v>
      </c>
      <c r="Q44" s="6" t="n">
        <f aca="false">L44*0.002%</f>
        <v>7123.599</v>
      </c>
      <c r="R44" s="6" t="n">
        <f aca="false">(O44+P44)*18%</f>
        <v>2498.1455835</v>
      </c>
      <c r="S44" s="6" t="n">
        <f aca="false">SUM(N44:R44)</f>
        <v>96083.8911585</v>
      </c>
      <c r="T44" s="6" t="n">
        <f aca="false">J44-S44</f>
        <v>6641766.10884148</v>
      </c>
    </row>
    <row r="45" customFormat="false" ht="15" hidden="false" customHeight="false" outlineLevel="0" collapsed="false">
      <c r="A45" s="3" t="n">
        <v>46049</v>
      </c>
      <c r="B45" s="4" t="s">
        <v>23</v>
      </c>
      <c r="C45" s="3" t="n">
        <v>46077</v>
      </c>
      <c r="D45" s="4" t="s">
        <v>24</v>
      </c>
      <c r="E45" s="4" t="s">
        <v>22</v>
      </c>
      <c r="F45" s="5" t="n">
        <v>13130</v>
      </c>
      <c r="G45" s="4" t="n">
        <v>25375.8</v>
      </c>
      <c r="H45" s="4" t="n">
        <v>25417.5</v>
      </c>
      <c r="I45" s="6" t="n">
        <f aca="false">IF(D45="Short",G45-H45,H45-G45)</f>
        <v>-41.7000000000007</v>
      </c>
      <c r="J45" s="6" t="n">
        <f aca="false">I45*F45</f>
        <v>-547521.00000001</v>
      </c>
      <c r="K45" s="6" t="n">
        <f aca="false">IF(D45="Short",F45*G45,F45*H45)</f>
        <v>333184254</v>
      </c>
      <c r="L45" s="6" t="n">
        <f aca="false">IF(D45="Short",F45*H45,G45*F45)</f>
        <v>333731775</v>
      </c>
      <c r="M45" s="6" t="n">
        <f aca="false">K45+L45</f>
        <v>666916029</v>
      </c>
      <c r="N45" s="6" t="n">
        <f aca="false">K45*0.02%</f>
        <v>66636.8508</v>
      </c>
      <c r="O45" s="6" t="n">
        <f aca="false">M45*0.00183%</f>
        <v>12204.5633307</v>
      </c>
      <c r="P45" s="6" t="n">
        <f aca="false">M45*0.0001%</f>
        <v>666.916029</v>
      </c>
      <c r="Q45" s="6" t="n">
        <f aca="false">L45*0.002%</f>
        <v>6674.6355</v>
      </c>
      <c r="R45" s="6" t="n">
        <f aca="false">(O45+P45)*18%</f>
        <v>2316.866284746</v>
      </c>
      <c r="S45" s="6" t="n">
        <f aca="false">SUM(N45:R45)</f>
        <v>88499.831944446</v>
      </c>
      <c r="T45" s="6" t="n">
        <f aca="false">J45-S45</f>
        <v>-636020.831944456</v>
      </c>
    </row>
    <row r="46" customFormat="false" ht="15" hidden="false" customHeight="false" outlineLevel="0" collapsed="false">
      <c r="A46" s="3" t="n">
        <v>46077</v>
      </c>
      <c r="B46" s="4" t="s">
        <v>20</v>
      </c>
      <c r="C46" s="3" t="n">
        <v>46111</v>
      </c>
      <c r="D46" s="4" t="s">
        <v>21</v>
      </c>
      <c r="E46" s="4" t="s">
        <v>22</v>
      </c>
      <c r="F46" s="5" t="n">
        <v>27000</v>
      </c>
      <c r="G46" s="4" t="n">
        <v>13490.5</v>
      </c>
      <c r="H46" s="4" t="n">
        <v>12164.3</v>
      </c>
      <c r="I46" s="6" t="n">
        <f aca="false">IF(D46="Short",G46-H46,H46-G46)</f>
        <v>-1326.2</v>
      </c>
      <c r="J46" s="6" t="n">
        <f aca="false">I46*F46</f>
        <v>-35807400</v>
      </c>
      <c r="K46" s="6" t="n">
        <f aca="false">IF(D46="Short",F46*G46,F46*H46)</f>
        <v>328436100</v>
      </c>
      <c r="L46" s="6" t="n">
        <f aca="false">IF(D46="Short",F46*H46,G46*F46)</f>
        <v>364243500</v>
      </c>
      <c r="M46" s="6" t="n">
        <f aca="false">K46+L46</f>
        <v>692679600</v>
      </c>
      <c r="N46" s="6" t="n">
        <f aca="false">K46*0.02%</f>
        <v>65687.22</v>
      </c>
      <c r="O46" s="6" t="n">
        <f aca="false">M46*0.00183%</f>
        <v>12676.03668</v>
      </c>
      <c r="P46" s="6" t="n">
        <f aca="false">M46*0.0001%</f>
        <v>692.6796</v>
      </c>
      <c r="Q46" s="6" t="n">
        <f aca="false">L46*0.002%</f>
        <v>7284.87</v>
      </c>
      <c r="R46" s="6" t="n">
        <f aca="false">(O46+P46)*18%</f>
        <v>2406.3689304</v>
      </c>
      <c r="S46" s="6" t="n">
        <f aca="false">SUM(N46:R46)</f>
        <v>88747.1752104</v>
      </c>
      <c r="T46" s="6" t="n">
        <f aca="false">J46-S46</f>
        <v>-35896147.1752104</v>
      </c>
    </row>
    <row r="47" customFormat="false" ht="15" hidden="false" customHeight="false" outlineLevel="0" collapsed="false">
      <c r="A47" s="3" t="n">
        <v>46077</v>
      </c>
      <c r="B47" s="4" t="s">
        <v>23</v>
      </c>
      <c r="C47" s="3" t="n">
        <v>46111</v>
      </c>
      <c r="D47" s="4" t="s">
        <v>24</v>
      </c>
      <c r="E47" s="4" t="s">
        <v>22</v>
      </c>
      <c r="F47" s="5" t="n">
        <v>13130</v>
      </c>
      <c r="G47" s="4" t="n">
        <v>25588.2</v>
      </c>
      <c r="H47" s="4" t="n">
        <v>22324</v>
      </c>
      <c r="I47" s="6" t="n">
        <f aca="false">IF(D47="Short",G47-H47,H47-G47)</f>
        <v>3264.2</v>
      </c>
      <c r="J47" s="6" t="n">
        <f aca="false">I47*F47</f>
        <v>42858946</v>
      </c>
      <c r="K47" s="6" t="n">
        <f aca="false">IF(D47="Short",F47*G47,F47*H47)</f>
        <v>335973066</v>
      </c>
      <c r="L47" s="6" t="n">
        <f aca="false">IF(D47="Short",F47*H47,G47*F47)</f>
        <v>293114120</v>
      </c>
      <c r="M47" s="6" t="n">
        <f aca="false">K47+L47</f>
        <v>629087186</v>
      </c>
      <c r="N47" s="6" t="n">
        <f aca="false">K47*0.02%</f>
        <v>67194.6132</v>
      </c>
      <c r="O47" s="6" t="n">
        <f aca="false">M47*0.00183%</f>
        <v>11512.2955038</v>
      </c>
      <c r="P47" s="6" t="n">
        <f aca="false">M47*0.0001%</f>
        <v>629.087186</v>
      </c>
      <c r="Q47" s="6" t="n">
        <f aca="false">L47*0.002%</f>
        <v>5862.2824</v>
      </c>
      <c r="R47" s="6" t="n">
        <f aca="false">(O47+P47)*18%</f>
        <v>2185.448884164</v>
      </c>
      <c r="S47" s="6" t="n">
        <f aca="false">SUM(N47:R47)</f>
        <v>87383.727173964</v>
      </c>
      <c r="T47" s="6" t="n">
        <f aca="false">J47-S47</f>
        <v>42771562.2728261</v>
      </c>
      <c r="U47" s="8"/>
      <c r="V47" s="10"/>
    </row>
    <row r="48" customFormat="false" ht="15" hidden="false" customHeight="false" outlineLevel="0" collapsed="false">
      <c r="A48" s="3" t="n">
        <v>46111</v>
      </c>
      <c r="B48" s="4" t="s">
        <v>20</v>
      </c>
      <c r="C48" s="3" t="n">
        <v>46140</v>
      </c>
      <c r="D48" s="4" t="s">
        <v>21</v>
      </c>
      <c r="E48" s="4" t="s">
        <v>22</v>
      </c>
      <c r="F48" s="5" t="n">
        <v>27000</v>
      </c>
      <c r="G48" s="4" t="n">
        <v>12160.65</v>
      </c>
      <c r="H48" s="4" t="n">
        <v>13970</v>
      </c>
      <c r="I48" s="6" t="n">
        <f aca="false">IF(D48="Short",G48-H48,H48-G48)</f>
        <v>1809.35</v>
      </c>
      <c r="J48" s="6" t="n">
        <f aca="false">I48*F48</f>
        <v>48852450</v>
      </c>
      <c r="K48" s="6" t="n">
        <f aca="false">IF(D48="Short",F48*G48,F48*H48)</f>
        <v>377190000</v>
      </c>
      <c r="L48" s="6" t="n">
        <f aca="false">IF(D48="Short",F48*H48,G48*F48)</f>
        <v>328337550</v>
      </c>
      <c r="M48" s="6" t="n">
        <f aca="false">K48+L48</f>
        <v>705527550</v>
      </c>
      <c r="N48" s="6" t="n">
        <f aca="false">K48*0.02%</f>
        <v>75438</v>
      </c>
      <c r="O48" s="6" t="n">
        <f aca="false">M48*0.00183%</f>
        <v>12911.154165</v>
      </c>
      <c r="P48" s="6" t="n">
        <f aca="false">M48*0.0001%</f>
        <v>705.52755</v>
      </c>
      <c r="Q48" s="6" t="n">
        <f aca="false">L48*0.002%</f>
        <v>6566.751</v>
      </c>
      <c r="R48" s="6" t="n">
        <f aca="false">(O48+P48)*18%</f>
        <v>2451.0027087</v>
      </c>
      <c r="S48" s="6" t="n">
        <f aca="false">SUM(N48:R48)</f>
        <v>98072.4354237</v>
      </c>
      <c r="T48" s="6" t="n">
        <f aca="false">J48-S48</f>
        <v>48754377.5645763</v>
      </c>
    </row>
    <row r="49" customFormat="false" ht="15" hidden="false" customHeight="false" outlineLevel="0" collapsed="false">
      <c r="A49" s="3" t="n">
        <v>46111</v>
      </c>
      <c r="B49" s="4" t="s">
        <v>23</v>
      </c>
      <c r="C49" s="3" t="n">
        <v>46140</v>
      </c>
      <c r="D49" s="4" t="s">
        <v>24</v>
      </c>
      <c r="E49" s="4" t="s">
        <v>22</v>
      </c>
      <c r="F49" s="5" t="n">
        <v>13130</v>
      </c>
      <c r="G49" s="4" t="n">
        <v>22419.4</v>
      </c>
      <c r="H49" s="4" t="n">
        <v>23977.1</v>
      </c>
      <c r="I49" s="6" t="n">
        <f aca="false">IF(D49="Short",G49-H49,H49-G49)</f>
        <v>-1557.7</v>
      </c>
      <c r="J49" s="6" t="n">
        <f aca="false">I49*F49</f>
        <v>-20452601</v>
      </c>
      <c r="K49" s="6" t="n">
        <f aca="false">IF(D49="Short",F49*G49,F49*H49)</f>
        <v>294366722</v>
      </c>
      <c r="L49" s="6" t="n">
        <f aca="false">IF(D49="Short",F49*H49,G49*F49)</f>
        <v>314819323</v>
      </c>
      <c r="M49" s="6" t="n">
        <f aca="false">K49+L49</f>
        <v>609186045</v>
      </c>
      <c r="N49" s="6" t="n">
        <f aca="false">K49*0.02%</f>
        <v>58873.3444</v>
      </c>
      <c r="O49" s="6" t="n">
        <f aca="false">M49*0.00183%</f>
        <v>11148.1046235</v>
      </c>
      <c r="P49" s="6" t="n">
        <f aca="false">M49*0.0001%</f>
        <v>609.186045</v>
      </c>
      <c r="Q49" s="6" t="n">
        <f aca="false">L49*0.002%</f>
        <v>6296.38646</v>
      </c>
      <c r="R49" s="6" t="n">
        <f aca="false">(O49+P49)*18%</f>
        <v>2116.31232033</v>
      </c>
      <c r="S49" s="6" t="n">
        <f aca="false">SUM(N49:R49)</f>
        <v>79043.33384883</v>
      </c>
      <c r="T49" s="6" t="n">
        <f aca="false">J49-S49</f>
        <v>-20531644.3338488</v>
      </c>
      <c r="U49" s="8"/>
      <c r="V49" s="10"/>
    </row>
    <row r="50" customFormat="false" ht="15" hidden="false" customHeight="false" outlineLevel="0" collapsed="false">
      <c r="A50" s="3" t="n">
        <v>46140</v>
      </c>
      <c r="B50" s="4" t="s">
        <v>20</v>
      </c>
      <c r="C50" s="3" t="n">
        <v>46168</v>
      </c>
      <c r="D50" s="4" t="s">
        <v>21</v>
      </c>
      <c r="E50" s="4" t="s">
        <v>22</v>
      </c>
      <c r="F50" s="5" t="n">
        <v>27000</v>
      </c>
      <c r="G50" s="4" t="n">
        <v>14010</v>
      </c>
      <c r="H50" s="4" t="n">
        <v>14676.6</v>
      </c>
      <c r="I50" s="6" t="n">
        <f aca="false">IF(D50="Short",G50-H50,H50-G50)</f>
        <v>666.6</v>
      </c>
      <c r="J50" s="6" t="n">
        <f aca="false">I50*F50</f>
        <v>17998200</v>
      </c>
      <c r="K50" s="6" t="n">
        <f aca="false">IF(D50="Short",F50*G50,F50*H50)</f>
        <v>396268200</v>
      </c>
      <c r="L50" s="6" t="n">
        <f aca="false">IF(D50="Short",F50*H50,G50*F50)</f>
        <v>378270000</v>
      </c>
      <c r="M50" s="6" t="n">
        <f aca="false">K50+L50</f>
        <v>774538200</v>
      </c>
      <c r="N50" s="6" t="n">
        <f aca="false">K50*0.02%</f>
        <v>79253.64</v>
      </c>
      <c r="O50" s="6" t="n">
        <f aca="false">M50*0.00183%</f>
        <v>14174.04906</v>
      </c>
      <c r="P50" s="6" t="n">
        <f aca="false">M50*0.0001%</f>
        <v>774.5382</v>
      </c>
      <c r="Q50" s="6" t="n">
        <f aca="false">L50*0.002%</f>
        <v>7565.4</v>
      </c>
      <c r="R50" s="6" t="n">
        <f aca="false">(O50+P50)*18%</f>
        <v>2690.7457068</v>
      </c>
      <c r="S50" s="6" t="n">
        <f aca="false">SUM(N50:R50)</f>
        <v>104458.3729668</v>
      </c>
      <c r="T50" s="6" t="n">
        <f aca="false">J50-S50</f>
        <v>17893741.6270332</v>
      </c>
    </row>
    <row r="51" customFormat="false" ht="15" hidden="false" customHeight="false" outlineLevel="0" collapsed="false">
      <c r="A51" s="3" t="n">
        <v>46140</v>
      </c>
      <c r="B51" s="4" t="s">
        <v>23</v>
      </c>
      <c r="C51" s="3" t="n">
        <v>46168</v>
      </c>
      <c r="D51" s="4" t="s">
        <v>24</v>
      </c>
      <c r="E51" s="4" t="s">
        <v>22</v>
      </c>
      <c r="F51" s="5" t="n">
        <v>13130</v>
      </c>
      <c r="G51" s="4" t="n">
        <v>24052.8</v>
      </c>
      <c r="H51" s="4" t="n">
        <v>23915</v>
      </c>
      <c r="I51" s="6" t="n">
        <f aca="false">IF(D51="Short",G51-H51,H51-G51)</f>
        <v>137.799999999999</v>
      </c>
      <c r="J51" s="6" t="n">
        <f aca="false">I51*F51</f>
        <v>1809313.99999999</v>
      </c>
      <c r="K51" s="6" t="n">
        <f aca="false">IF(D51="Short",F51*G51,F51*H51)</f>
        <v>315813264</v>
      </c>
      <c r="L51" s="6" t="n">
        <f aca="false">IF(D51="Short",F51*H51,G51*F51)</f>
        <v>314003950</v>
      </c>
      <c r="M51" s="6" t="n">
        <f aca="false">K51+L51</f>
        <v>629817214</v>
      </c>
      <c r="N51" s="6" t="n">
        <f aca="false">K51*0.02%</f>
        <v>63162.6528</v>
      </c>
      <c r="O51" s="6" t="n">
        <f aca="false">M51*0.00183%</f>
        <v>11525.6550162</v>
      </c>
      <c r="P51" s="6" t="n">
        <f aca="false">M51*0.0001%</f>
        <v>629.817214</v>
      </c>
      <c r="Q51" s="6" t="n">
        <f aca="false">L51*0.002%</f>
        <v>6280.079</v>
      </c>
      <c r="R51" s="6" t="n">
        <f aca="false">(O51+P51)*18%</f>
        <v>2187.985001436</v>
      </c>
      <c r="S51" s="6" t="n">
        <f aca="false">SUM(N51:R51)</f>
        <v>83786.189031636</v>
      </c>
      <c r="T51" s="6" t="n">
        <f aca="false">J51-S51</f>
        <v>1725527.81096835</v>
      </c>
      <c r="U51" s="8"/>
      <c r="V51" s="10"/>
    </row>
    <row r="52" customFormat="false" ht="15" hidden="false" customHeight="false" outlineLevel="0" collapsed="false">
      <c r="A52" s="3" t="n">
        <v>46168</v>
      </c>
      <c r="B52" s="4" t="s">
        <v>20</v>
      </c>
      <c r="C52" s="3" t="n">
        <v>46203</v>
      </c>
      <c r="D52" s="4" t="s">
        <v>21</v>
      </c>
      <c r="E52" s="4" t="s">
        <v>22</v>
      </c>
      <c r="F52" s="5" t="n">
        <v>27000</v>
      </c>
      <c r="G52" s="4" t="n">
        <v>14777</v>
      </c>
      <c r="H52" s="4" t="n">
        <v>14546</v>
      </c>
      <c r="I52" s="6" t="n">
        <f aca="false">IF(D52="Short",G52-H52,H52-G52)</f>
        <v>-231</v>
      </c>
      <c r="J52" s="6" t="n">
        <f aca="false">I52*F52</f>
        <v>-6237000</v>
      </c>
      <c r="K52" s="6" t="n">
        <f aca="false">IF(D52="Short",F52*G52,F52*H52)</f>
        <v>392742000</v>
      </c>
      <c r="L52" s="6" t="n">
        <f aca="false">IF(D52="Short",F52*H52,G52*F52)</f>
        <v>398979000</v>
      </c>
      <c r="M52" s="6" t="n">
        <f aca="false">K52+L52</f>
        <v>791721000</v>
      </c>
      <c r="N52" s="6" t="n">
        <f aca="false">K52*0.02%</f>
        <v>78548.4</v>
      </c>
      <c r="O52" s="6" t="n">
        <f aca="false">M52*0.00183%</f>
        <v>14488.4943</v>
      </c>
      <c r="P52" s="6" t="n">
        <f aca="false">M52*0.0001%</f>
        <v>791.721</v>
      </c>
      <c r="Q52" s="6" t="n">
        <f aca="false">L52*0.002%</f>
        <v>7979.58</v>
      </c>
      <c r="R52" s="6" t="n">
        <f aca="false">(O52+P52)*18%</f>
        <v>2750.438754</v>
      </c>
      <c r="S52" s="6" t="n">
        <f aca="false">SUM(N52:R52)</f>
        <v>104558.634054</v>
      </c>
      <c r="T52" s="6" t="n">
        <f aca="false">J52-S52</f>
        <v>-6341558.634054</v>
      </c>
    </row>
    <row r="53" customFormat="false" ht="15" hidden="false" customHeight="false" outlineLevel="0" collapsed="false">
      <c r="A53" s="3" t="n">
        <v>46168</v>
      </c>
      <c r="B53" s="4" t="s">
        <v>23</v>
      </c>
      <c r="C53" s="3" t="n">
        <v>46203</v>
      </c>
      <c r="D53" s="4" t="s">
        <v>24</v>
      </c>
      <c r="E53" s="4" t="s">
        <v>22</v>
      </c>
      <c r="F53" s="5" t="n">
        <v>13130</v>
      </c>
      <c r="G53" s="4" t="n">
        <v>23978</v>
      </c>
      <c r="H53" s="4" t="n">
        <v>24051</v>
      </c>
      <c r="I53" s="6" t="n">
        <f aca="false">IF(D53="Short",G53-H53,H53-G53)</f>
        <v>-73</v>
      </c>
      <c r="J53" s="6" t="n">
        <f aca="false">I53*F53</f>
        <v>-958490</v>
      </c>
      <c r="K53" s="6" t="n">
        <f aca="false">IF(D53="Short",F53*G53,F53*H53)</f>
        <v>314831140</v>
      </c>
      <c r="L53" s="6" t="n">
        <f aca="false">IF(D53="Short",F53*H53,G53*F53)</f>
        <v>315789630</v>
      </c>
      <c r="M53" s="6" t="n">
        <f aca="false">K53+L53</f>
        <v>630620770</v>
      </c>
      <c r="N53" s="6" t="n">
        <f aca="false">K53*0.02%</f>
        <v>62966.228</v>
      </c>
      <c r="O53" s="6" t="n">
        <f aca="false">M53*0.00183%</f>
        <v>11540.360091</v>
      </c>
      <c r="P53" s="6" t="n">
        <f aca="false">M53*0.0001%</f>
        <v>630.62077</v>
      </c>
      <c r="Q53" s="6" t="n">
        <f aca="false">L53*0.002%</f>
        <v>6315.7926</v>
      </c>
      <c r="R53" s="6" t="n">
        <f aca="false">(O53+P53)*18%</f>
        <v>2190.77655498</v>
      </c>
      <c r="S53" s="6" t="n">
        <f aca="false">SUM(N53:R53)</f>
        <v>83643.77801598</v>
      </c>
      <c r="T53" s="6" t="n">
        <f aca="false">J53-S53</f>
        <v>-1042133.77801598</v>
      </c>
    </row>
    <row r="54" customFormat="false" ht="15" hidden="false" customHeight="false" outlineLevel="0" collapsed="false">
      <c r="A54" s="3" t="n">
        <v>46203</v>
      </c>
      <c r="B54" s="4" t="s">
        <v>20</v>
      </c>
      <c r="C54" s="3" t="n">
        <v>46231</v>
      </c>
      <c r="D54" s="4" t="s">
        <v>21</v>
      </c>
      <c r="E54" s="4" t="s">
        <v>22</v>
      </c>
      <c r="F54" s="5" t="n">
        <v>27000</v>
      </c>
      <c r="G54" s="4" t="n">
        <v>14511.15</v>
      </c>
      <c r="H54" s="4" t="n">
        <v>14686.8</v>
      </c>
      <c r="I54" s="6" t="n">
        <f aca="false">IF(D54="Short",G54-H54,H54-G54)</f>
        <v>175.65</v>
      </c>
      <c r="J54" s="6" t="n">
        <f aca="false">I54*F54</f>
        <v>4742549.99999999</v>
      </c>
      <c r="K54" s="6" t="n">
        <f aca="false">IF(D54="Short",F54*G54,F54*H54)</f>
        <v>396543600</v>
      </c>
      <c r="L54" s="6" t="n">
        <f aca="false">IF(D54="Short",F54*H54,G54*F54)</f>
        <v>391801050</v>
      </c>
      <c r="M54" s="6" t="n">
        <f aca="false">K54+L54</f>
        <v>788344650</v>
      </c>
      <c r="N54" s="6" t="n">
        <f aca="false">K54*0.05%</f>
        <v>198271.8</v>
      </c>
      <c r="O54" s="6" t="n">
        <f aca="false">M54*0.00183%</f>
        <v>14426.707095</v>
      </c>
      <c r="P54" s="6" t="n">
        <f aca="false">M54*0.0001%</f>
        <v>788.34465</v>
      </c>
      <c r="Q54" s="6" t="n">
        <f aca="false">L54*0.002%</f>
        <v>7836.021</v>
      </c>
      <c r="R54" s="6" t="n">
        <f aca="false">(O54+P54)*18%</f>
        <v>2738.7093141</v>
      </c>
      <c r="S54" s="6" t="n">
        <f aca="false">SUM(N54:R54)</f>
        <v>224061.5820591</v>
      </c>
      <c r="T54" s="6" t="n">
        <f aca="false">J54-S54</f>
        <v>4518488.41794089</v>
      </c>
    </row>
    <row r="55" customFormat="false" ht="15" hidden="false" customHeight="false" outlineLevel="0" collapsed="false">
      <c r="A55" s="3" t="n">
        <v>46203</v>
      </c>
      <c r="B55" s="4" t="s">
        <v>23</v>
      </c>
      <c r="C55" s="3" t="n">
        <v>46231</v>
      </c>
      <c r="D55" s="4" t="s">
        <v>24</v>
      </c>
      <c r="E55" s="4" t="s">
        <v>22</v>
      </c>
      <c r="F55" s="5" t="n">
        <v>13130</v>
      </c>
      <c r="G55" s="4" t="n">
        <v>24009.1</v>
      </c>
      <c r="H55" s="4" t="n">
        <v>23999.3</v>
      </c>
      <c r="I55" s="6" t="n">
        <f aca="false">IF(D55="Short",G55-H55,H55-G55)</f>
        <v>9.79999999999927</v>
      </c>
      <c r="J55" s="6" t="n">
        <f aca="false">I55*F55</f>
        <v>128673.99999999</v>
      </c>
      <c r="K55" s="6" t="n">
        <f aca="false">IF(D55="Short",F55*G55,F55*H55)</f>
        <v>315239483</v>
      </c>
      <c r="L55" s="6" t="n">
        <f aca="false">IF(D55="Short",F55*H55,G55*F55)</f>
        <v>315110809</v>
      </c>
      <c r="M55" s="6" t="n">
        <f aca="false">K55+L55</f>
        <v>630350292</v>
      </c>
      <c r="N55" s="6" t="n">
        <f aca="false">K55*0.05%</f>
        <v>157619.7415</v>
      </c>
      <c r="O55" s="6" t="n">
        <f aca="false">M55*0.00183%</f>
        <v>11535.4103436</v>
      </c>
      <c r="P55" s="6" t="n">
        <f aca="false">M55*0.0001%</f>
        <v>630.350292</v>
      </c>
      <c r="Q55" s="6" t="n">
        <f aca="false">L55*0.002%</f>
        <v>6302.21618</v>
      </c>
      <c r="R55" s="6" t="n">
        <f aca="false">(O55+P55)*18%</f>
        <v>2189.836914408</v>
      </c>
      <c r="S55" s="6" t="n">
        <f aca="false">SUM(N55:R55)</f>
        <v>178277.555230008</v>
      </c>
      <c r="T55" s="6" t="n">
        <f aca="false">J55-S55</f>
        <v>-49603.5552300175</v>
      </c>
    </row>
    <row r="56" customFormat="false" ht="13.8" hidden="false" customHeight="false" outlineLevel="0" collapsed="false">
      <c r="A56" s="11" t="n">
        <v>46231</v>
      </c>
      <c r="B56" s="12" t="s">
        <v>20</v>
      </c>
      <c r="C56" s="11" t="n">
        <v>46259</v>
      </c>
      <c r="D56" s="12" t="s">
        <v>21</v>
      </c>
      <c r="E56" s="12" t="s">
        <v>22</v>
      </c>
      <c r="F56" s="12" t="n">
        <v>27240</v>
      </c>
      <c r="G56" s="12" t="n">
        <v>14612.4</v>
      </c>
      <c r="H56" s="12"/>
      <c r="I56" s="6" t="n">
        <f aca="false">IF(D56="Short",G56-H56,H56-G56)</f>
        <v>-14612.4</v>
      </c>
      <c r="J56" s="6" t="n">
        <f aca="false">I56*F56</f>
        <v>-398041776</v>
      </c>
      <c r="K56" s="6" t="n">
        <f aca="false">IF(D56="Short",F56*G56,F56*H56)</f>
        <v>0</v>
      </c>
      <c r="L56" s="6" t="n">
        <f aca="false">IF(D56="Short",F56*H56,G56*F56)</f>
        <v>398041776</v>
      </c>
      <c r="M56" s="6" t="n">
        <f aca="false">K56+L56</f>
        <v>398041776</v>
      </c>
      <c r="N56" s="6" t="n">
        <f aca="false">K56*0.05%</f>
        <v>0</v>
      </c>
      <c r="O56" s="6" t="n">
        <f aca="false">M56*0.00183%</f>
        <v>7284.1645008</v>
      </c>
      <c r="P56" s="6" t="n">
        <f aca="false">M56*0.0001%</f>
        <v>398.041776</v>
      </c>
      <c r="Q56" s="6" t="n">
        <f aca="false">L56*0.002%</f>
        <v>7960.83552</v>
      </c>
      <c r="R56" s="6" t="n">
        <f aca="false">(O56+P56)*18%</f>
        <v>1382.797129824</v>
      </c>
      <c r="S56" s="6" t="n">
        <f aca="false">SUM(N56:R56)</f>
        <v>17025.838926624</v>
      </c>
      <c r="T56" s="6" t="n">
        <f aca="false">J56-S56</f>
        <v>-398058801.838927</v>
      </c>
    </row>
    <row r="57" customFormat="false" ht="13.8" hidden="false" customHeight="false" outlineLevel="0" collapsed="false">
      <c r="A57" s="11" t="n">
        <v>46231</v>
      </c>
      <c r="B57" s="12" t="s">
        <v>23</v>
      </c>
      <c r="C57" s="11" t="n">
        <v>46259</v>
      </c>
      <c r="D57" s="12" t="s">
        <v>24</v>
      </c>
      <c r="E57" s="12" t="s">
        <v>22</v>
      </c>
      <c r="F57" s="12" t="n">
        <v>13200</v>
      </c>
      <c r="G57" s="12" t="n">
        <v>24311.5</v>
      </c>
      <c r="H57" s="12"/>
      <c r="I57" s="6" t="n">
        <f aca="false">IF(D57="Short",G57-H57,H57-G57)</f>
        <v>24311.5</v>
      </c>
      <c r="J57" s="6" t="n">
        <f aca="false">I57*F57</f>
        <v>320911800</v>
      </c>
      <c r="K57" s="6" t="n">
        <f aca="false">IF(D57="Short",F57*G57,F57*H57)</f>
        <v>320911800</v>
      </c>
      <c r="L57" s="6" t="n">
        <f aca="false">IF(D57="Short",F57*H57,G57*F57)</f>
        <v>0</v>
      </c>
      <c r="M57" s="6" t="n">
        <f aca="false">K57+L57</f>
        <v>320911800</v>
      </c>
      <c r="N57" s="6" t="n">
        <f aca="false">K57*0.05%</f>
        <v>160455.9</v>
      </c>
      <c r="O57" s="6" t="n">
        <f aca="false">M57*0.00183%</f>
        <v>5872.68594</v>
      </c>
      <c r="P57" s="6" t="n">
        <f aca="false">M57*0.0001%</f>
        <v>320.9118</v>
      </c>
      <c r="Q57" s="6" t="n">
        <f aca="false">L57*0.002%</f>
        <v>0</v>
      </c>
      <c r="R57" s="6" t="n">
        <f aca="false">(O57+P57)*18%</f>
        <v>1114.8475932</v>
      </c>
      <c r="S57" s="6" t="n">
        <f aca="false">SUM(N57:R57)</f>
        <v>167764.3453332</v>
      </c>
      <c r="T57" s="6" t="n">
        <f aca="false">J57-S57</f>
        <v>320744035.654667</v>
      </c>
    </row>
    <row r="58" customFormat="false" ht="15" hidden="false" customHeight="false" outlineLevel="0" collapsed="false">
      <c r="V58" s="0" t="n">
        <v>450000</v>
      </c>
    </row>
    <row r="59" customFormat="false" ht="15" hidden="false" customHeight="false" outlineLevel="0" collapsed="false">
      <c r="V59" s="0" t="n">
        <v>107000</v>
      </c>
    </row>
    <row r="60" customFormat="false" ht="15" hidden="false" customHeight="false" outlineLevel="0" collapsed="false">
      <c r="V60" s="13" t="n">
        <f aca="false">V59/V58</f>
        <v>0.237777777777778</v>
      </c>
    </row>
    <row r="62" customFormat="false" ht="15" hidden="false" customHeight="false" outlineLevel="0" collapsed="false">
      <c r="O6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5" activePane="bottomLeft" state="frozen"/>
      <selection pane="topLeft" activeCell="A1" activeCellId="0" sqref="A1"/>
      <selection pane="bottomLeft" activeCell="A57" activeCellId="0" sqref="A57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2.27"/>
    <col collapsed="false" customWidth="true" hidden="false" outlineLevel="0" max="3" min="3" style="0" width="12.13"/>
    <col collapsed="false" customWidth="true" hidden="false" outlineLevel="0" max="4" min="4" style="0" width="7.26"/>
    <col collapsed="false" customWidth="true" hidden="false" outlineLevel="0" max="5" min="5" style="0" width="4.9"/>
    <col collapsed="false" customWidth="true" hidden="false" outlineLevel="0" max="6" min="6" style="0" width="7.68"/>
    <col collapsed="false" customWidth="true" hidden="false" outlineLevel="0" max="9" min="7" style="0" width="9.91"/>
    <col collapsed="false" customWidth="true" hidden="false" outlineLevel="0" max="10" min="10" style="0" width="16.87"/>
    <col collapsed="false" customWidth="true" hidden="false" outlineLevel="0" max="13" min="11" style="0" width="17.55"/>
    <col collapsed="false" customWidth="true" hidden="false" outlineLevel="0" max="14" min="14" style="0" width="12.68"/>
    <col collapsed="false" customWidth="true" hidden="false" outlineLevel="0" max="15" min="15" style="0" width="10.6"/>
    <col collapsed="false" customWidth="true" hidden="false" outlineLevel="0" max="16" min="16" style="0" width="7.13"/>
    <col collapsed="false" customWidth="true" hidden="false" outlineLevel="0" max="18" min="17" style="0" width="9.2"/>
    <col collapsed="false" customWidth="true" hidden="false" outlineLevel="0" max="19" min="19" style="0" width="12.68"/>
    <col collapsed="false" customWidth="true" hidden="false" outlineLevel="0" max="20" min="20" style="0" width="16.8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3" t="n">
        <v>45407</v>
      </c>
      <c r="B2" s="4" t="s">
        <v>20</v>
      </c>
      <c r="C2" s="3" t="n">
        <v>45439</v>
      </c>
      <c r="D2" s="4" t="s">
        <v>21</v>
      </c>
      <c r="E2" s="4" t="s">
        <v>22</v>
      </c>
      <c r="F2" s="5" t="n">
        <v>27450</v>
      </c>
      <c r="G2" s="4" t="n">
        <v>10922.65</v>
      </c>
      <c r="H2" s="4" t="n">
        <v>11680</v>
      </c>
      <c r="I2" s="6" t="n">
        <f aca="false">IF(D2="Short",G2-H2,H2-G2)</f>
        <v>757.35</v>
      </c>
      <c r="J2" s="6" t="n">
        <f aca="false">I2*F2</f>
        <v>20789257.5</v>
      </c>
      <c r="K2" s="6" t="n">
        <f aca="false">IF(D2="Short",F2*G2,F2*H2)</f>
        <v>320616000</v>
      </c>
      <c r="L2" s="6" t="n">
        <f aca="false">IF(D2="Short",F2*H2,G2*F2)</f>
        <v>299826742.5</v>
      </c>
      <c r="M2" s="6" t="n">
        <f aca="false">K2+L2</f>
        <v>620442742.5</v>
      </c>
      <c r="N2" s="6" t="n">
        <f aca="false">K2*0.02%</f>
        <v>64123.2</v>
      </c>
      <c r="O2" s="6" t="n">
        <f aca="false">M2*0.00183%</f>
        <v>11354.10218775</v>
      </c>
      <c r="P2" s="6" t="n">
        <f aca="false">M2*0.0001%</f>
        <v>620.4427425</v>
      </c>
      <c r="Q2" s="6" t="n">
        <f aca="false">L2*0.002%</f>
        <v>5996.53485</v>
      </c>
      <c r="R2" s="6" t="n">
        <f aca="false">(O2+P2)*18%</f>
        <v>2155.418087445</v>
      </c>
      <c r="S2" s="6" t="n">
        <f aca="false">SUM(N2:R2)</f>
        <v>84249.697867695</v>
      </c>
      <c r="T2" s="6" t="n">
        <f aca="false">J2-S2</f>
        <v>20705007.8021323</v>
      </c>
      <c r="U2" s="7"/>
      <c r="V2" s="8"/>
    </row>
    <row r="3" customFormat="false" ht="15" hidden="false" customHeight="false" outlineLevel="0" collapsed="false">
      <c r="A3" s="3" t="n">
        <v>45407</v>
      </c>
      <c r="B3" s="4" t="s">
        <v>23</v>
      </c>
      <c r="C3" s="3" t="n">
        <v>45442</v>
      </c>
      <c r="D3" s="4" t="s">
        <v>24</v>
      </c>
      <c r="E3" s="4" t="s">
        <v>22</v>
      </c>
      <c r="F3" s="5" t="n">
        <v>13250</v>
      </c>
      <c r="G3" s="4" t="n">
        <v>22654</v>
      </c>
      <c r="H3" s="4" t="n">
        <v>22486.9</v>
      </c>
      <c r="I3" s="6" t="n">
        <f aca="false">IF(D3="Short",G3-H3,H3-G3)</f>
        <v>167.099999999999</v>
      </c>
      <c r="J3" s="6" t="n">
        <f aca="false">I3*F3</f>
        <v>2214074.99999998</v>
      </c>
      <c r="K3" s="6" t="n">
        <f aca="false">IF(D3="Short",F3*G3,F3*H3)</f>
        <v>300165500</v>
      </c>
      <c r="L3" s="6" t="n">
        <f aca="false">IF(D3="Short",F3*H3,G3*F3)</f>
        <v>297951425</v>
      </c>
      <c r="M3" s="6" t="n">
        <f aca="false">K3+L3</f>
        <v>598116925</v>
      </c>
      <c r="N3" s="6" t="n">
        <f aca="false">K3*0.02%</f>
        <v>60033.1</v>
      </c>
      <c r="O3" s="6" t="n">
        <f aca="false">M3*0.00183%</f>
        <v>10945.5397275</v>
      </c>
      <c r="P3" s="6" t="n">
        <f aca="false">M3*0.0001%</f>
        <v>598.116925</v>
      </c>
      <c r="Q3" s="6" t="n">
        <f aca="false">L3*0.002%</f>
        <v>5959.0285</v>
      </c>
      <c r="R3" s="6" t="n">
        <f aca="false">(O3+P3)*18%</f>
        <v>2077.85819745</v>
      </c>
      <c r="S3" s="6" t="n">
        <f aca="false">SUM(N3:R3)</f>
        <v>79613.64334995</v>
      </c>
      <c r="T3" s="6" t="n">
        <f aca="false">J3-S3</f>
        <v>2134461.35665003</v>
      </c>
      <c r="U3" s="7"/>
      <c r="V3" s="8"/>
    </row>
    <row r="4" customFormat="false" ht="15" hidden="false" customHeight="false" outlineLevel="0" collapsed="false">
      <c r="A4" s="3" t="n">
        <v>45439</v>
      </c>
      <c r="B4" s="4" t="s">
        <v>20</v>
      </c>
      <c r="C4" s="3" t="n">
        <v>45467</v>
      </c>
      <c r="D4" s="4" t="s">
        <v>21</v>
      </c>
      <c r="E4" s="4" t="s">
        <v>22</v>
      </c>
      <c r="F4" s="5" t="n">
        <v>27450</v>
      </c>
      <c r="G4" s="4" t="n">
        <v>11373.1</v>
      </c>
      <c r="H4" s="4" t="n">
        <v>12270.1</v>
      </c>
      <c r="I4" s="6" t="n">
        <f aca="false">IF(D4="Short",G4-H4,H4-G4)</f>
        <v>897</v>
      </c>
      <c r="J4" s="6" t="n">
        <f aca="false">I4*F4</f>
        <v>24622650</v>
      </c>
      <c r="K4" s="6" t="n">
        <f aca="false">IF(D4="Short",F4*G4,F4*H4)</f>
        <v>336814245</v>
      </c>
      <c r="L4" s="6" t="n">
        <f aca="false">IF(D4="Short",F4*H4,G4*F4)</f>
        <v>312191595</v>
      </c>
      <c r="M4" s="6" t="n">
        <f aca="false">K4+L4</f>
        <v>649005840</v>
      </c>
      <c r="N4" s="6" t="n">
        <f aca="false">K4*0.02%</f>
        <v>67362.849</v>
      </c>
      <c r="O4" s="6" t="n">
        <f aca="false">M4*0.00183%</f>
        <v>11876.806872</v>
      </c>
      <c r="P4" s="6" t="n">
        <f aca="false">M4*0.0001%</f>
        <v>649.00584</v>
      </c>
      <c r="Q4" s="6" t="n">
        <f aca="false">L4*0.002%</f>
        <v>6243.8319</v>
      </c>
      <c r="R4" s="6" t="n">
        <f aca="false">(O4+P4)*18%</f>
        <v>2254.64628816</v>
      </c>
      <c r="S4" s="6" t="n">
        <f aca="false">SUM(N4:R4)</f>
        <v>88387.13990016</v>
      </c>
      <c r="T4" s="6" t="n">
        <f aca="false">J4-S4</f>
        <v>24534262.8600998</v>
      </c>
      <c r="U4" s="7"/>
      <c r="V4" s="8"/>
    </row>
    <row r="5" customFormat="false" ht="15" hidden="false" customHeight="false" outlineLevel="0" collapsed="false">
      <c r="A5" s="3" t="n">
        <v>45442</v>
      </c>
      <c r="B5" s="4" t="s">
        <v>23</v>
      </c>
      <c r="C5" s="3" t="n">
        <v>45470</v>
      </c>
      <c r="D5" s="4" t="s">
        <v>24</v>
      </c>
      <c r="E5" s="4" t="s">
        <v>22</v>
      </c>
      <c r="F5" s="5" t="n">
        <v>13250</v>
      </c>
      <c r="G5" s="4" t="n">
        <v>22628</v>
      </c>
      <c r="H5" s="4" t="n">
        <v>24040.9</v>
      </c>
      <c r="I5" s="6" t="n">
        <f aca="false">IF(D5="Short",G5-H5,H5-G5)</f>
        <v>-1412.9</v>
      </c>
      <c r="J5" s="6" t="n">
        <f aca="false">I5*F5</f>
        <v>-18720925</v>
      </c>
      <c r="K5" s="6" t="n">
        <f aca="false">IF(D5="Short",F5*G5,F5*H5)</f>
        <v>299821000</v>
      </c>
      <c r="L5" s="6" t="n">
        <f aca="false">IF(D5="Short",F5*H5,G5*F5)</f>
        <v>318541925</v>
      </c>
      <c r="M5" s="6" t="n">
        <f aca="false">K5+L5</f>
        <v>618362925</v>
      </c>
      <c r="N5" s="6" t="n">
        <f aca="false">K5*0.02%</f>
        <v>59964.2</v>
      </c>
      <c r="O5" s="6" t="n">
        <f aca="false">M5*0.00183%</f>
        <v>11316.0415275</v>
      </c>
      <c r="P5" s="6" t="n">
        <f aca="false">M5*0.0001%</f>
        <v>618.362925</v>
      </c>
      <c r="Q5" s="6" t="n">
        <f aca="false">L5*0.002%</f>
        <v>6370.8385</v>
      </c>
      <c r="R5" s="6" t="n">
        <f aca="false">(O5+P5)*18%</f>
        <v>2148.19280145</v>
      </c>
      <c r="S5" s="6" t="n">
        <f aca="false">SUM(N5:R5)</f>
        <v>80417.63575395</v>
      </c>
      <c r="T5" s="6" t="n">
        <f aca="false">J5-S5</f>
        <v>-18801342.635754</v>
      </c>
      <c r="U5" s="7"/>
      <c r="V5" s="8"/>
    </row>
    <row r="6" customFormat="false" ht="15" hidden="false" customHeight="false" outlineLevel="0" collapsed="false">
      <c r="A6" s="3" t="n">
        <v>45467</v>
      </c>
      <c r="B6" s="4" t="s">
        <v>20</v>
      </c>
      <c r="C6" s="3" t="n">
        <v>45502</v>
      </c>
      <c r="D6" s="4" t="s">
        <v>21</v>
      </c>
      <c r="E6" s="4" t="s">
        <v>22</v>
      </c>
      <c r="F6" s="5" t="n">
        <v>27450</v>
      </c>
      <c r="G6" s="4" t="n">
        <v>12282.2</v>
      </c>
      <c r="H6" s="4" t="n">
        <v>12429.15</v>
      </c>
      <c r="I6" s="6" t="n">
        <f aca="false">IF(D6="Short",G6-H6,H6-G6)</f>
        <v>146.949999999999</v>
      </c>
      <c r="J6" s="6" t="n">
        <f aca="false">I6*F6</f>
        <v>4033777.49999997</v>
      </c>
      <c r="K6" s="6" t="n">
        <f aca="false">IF(D6="Short",F6*G6,F6*H6)</f>
        <v>341180167.5</v>
      </c>
      <c r="L6" s="6" t="n">
        <f aca="false">IF(D6="Short",F6*H6,G6*F6)</f>
        <v>337146390</v>
      </c>
      <c r="M6" s="6" t="n">
        <f aca="false">K6+L6</f>
        <v>678326557.5</v>
      </c>
      <c r="N6" s="6" t="n">
        <f aca="false">K6*0.02%</f>
        <v>68236.0335</v>
      </c>
      <c r="O6" s="6" t="n">
        <f aca="false">M6*0.00183%</f>
        <v>12413.37600225</v>
      </c>
      <c r="P6" s="6" t="n">
        <f aca="false">M6*0.0001%</f>
        <v>678.3265575</v>
      </c>
      <c r="Q6" s="6" t="n">
        <f aca="false">L6*0.002%</f>
        <v>6742.9278</v>
      </c>
      <c r="R6" s="6" t="n">
        <f aca="false">(O6+P6)*18%</f>
        <v>2356.506460755</v>
      </c>
      <c r="S6" s="6" t="n">
        <f aca="false">SUM(N6:R6)</f>
        <v>90427.170320505</v>
      </c>
      <c r="T6" s="6" t="n">
        <f aca="false">J6-S6</f>
        <v>3943350.32967947</v>
      </c>
      <c r="U6" s="7"/>
      <c r="V6" s="8"/>
    </row>
    <row r="7" customFormat="false" ht="15" hidden="false" customHeight="false" outlineLevel="0" collapsed="false">
      <c r="A7" s="3" t="n">
        <v>45470</v>
      </c>
      <c r="B7" s="4" t="s">
        <v>23</v>
      </c>
      <c r="C7" s="3" t="n">
        <v>45498</v>
      </c>
      <c r="D7" s="4" t="s">
        <v>24</v>
      </c>
      <c r="E7" s="4" t="s">
        <v>22</v>
      </c>
      <c r="F7" s="5" t="n">
        <v>13250</v>
      </c>
      <c r="G7" s="4" t="n">
        <v>24098</v>
      </c>
      <c r="H7" s="4" t="n">
        <v>24405</v>
      </c>
      <c r="I7" s="6" t="n">
        <f aca="false">IF(D7="Short",G7-H7,H7-G7)</f>
        <v>-307</v>
      </c>
      <c r="J7" s="6" t="n">
        <f aca="false">I7*F7</f>
        <v>-4067750</v>
      </c>
      <c r="K7" s="6" t="n">
        <f aca="false">IF(D7="Short",F7*G7,F7*H7)</f>
        <v>319298500</v>
      </c>
      <c r="L7" s="6" t="n">
        <f aca="false">IF(D7="Short",F7*H7,G7*F7)</f>
        <v>323366250</v>
      </c>
      <c r="M7" s="6" t="n">
        <f aca="false">K7+L7</f>
        <v>642664750</v>
      </c>
      <c r="N7" s="6" t="n">
        <f aca="false">K7*0.02%</f>
        <v>63859.7</v>
      </c>
      <c r="O7" s="6" t="n">
        <f aca="false">M7*0.00183%</f>
        <v>11760.764925</v>
      </c>
      <c r="P7" s="6" t="n">
        <f aca="false">M7*0.0001%</f>
        <v>642.66475</v>
      </c>
      <c r="Q7" s="6" t="n">
        <f aca="false">L7*0.002%</f>
        <v>6467.325</v>
      </c>
      <c r="R7" s="6" t="n">
        <f aca="false">(O7+P7)*18%</f>
        <v>2232.6173415</v>
      </c>
      <c r="S7" s="6" t="n">
        <f aca="false">SUM(N7:R7)</f>
        <v>84963.0720165</v>
      </c>
      <c r="T7" s="6" t="n">
        <f aca="false">J7-S7</f>
        <v>-4152713.0720165</v>
      </c>
      <c r="U7" s="7"/>
      <c r="V7" s="8"/>
    </row>
    <row r="8" customFormat="false" ht="15" hidden="false" customHeight="false" outlineLevel="0" collapsed="false">
      <c r="A8" s="3" t="n">
        <v>45502</v>
      </c>
      <c r="B8" s="4" t="s">
        <v>20</v>
      </c>
      <c r="C8" s="3" t="n">
        <v>45530</v>
      </c>
      <c r="D8" s="4" t="s">
        <v>21</v>
      </c>
      <c r="E8" s="4" t="s">
        <v>22</v>
      </c>
      <c r="F8" s="5" t="n">
        <v>27450</v>
      </c>
      <c r="G8" s="4" t="n">
        <v>12450</v>
      </c>
      <c r="H8" s="4" t="n">
        <v>13055.2</v>
      </c>
      <c r="I8" s="6" t="n">
        <f aca="false">IF(D8="Short",G8-H8,H8-G8)</f>
        <v>605.200000000001</v>
      </c>
      <c r="J8" s="6" t="n">
        <f aca="false">I8*F8</f>
        <v>16612740</v>
      </c>
      <c r="K8" s="6" t="n">
        <f aca="false">IF(D8="Short",F8*G8,F8*H8)</f>
        <v>358365240</v>
      </c>
      <c r="L8" s="6" t="n">
        <f aca="false">IF(D8="Short",F8*H8,G8*F8)</f>
        <v>341752500</v>
      </c>
      <c r="M8" s="6" t="n">
        <f aca="false">K8+L8</f>
        <v>700117740</v>
      </c>
      <c r="N8" s="6" t="n">
        <f aca="false">K8*0.02%</f>
        <v>71673.048</v>
      </c>
      <c r="O8" s="6" t="n">
        <f aca="false">M8*0.00183%</f>
        <v>12812.154642</v>
      </c>
      <c r="P8" s="6" t="n">
        <f aca="false">M8*0.0001%</f>
        <v>700.11774</v>
      </c>
      <c r="Q8" s="6" t="n">
        <f aca="false">L8*0.002%</f>
        <v>6835.05</v>
      </c>
      <c r="R8" s="6" t="n">
        <f aca="false">(O8+P8)*18%</f>
        <v>2432.20902876</v>
      </c>
      <c r="S8" s="6" t="n">
        <f aca="false">SUM(N8:R8)</f>
        <v>94452.57941076</v>
      </c>
      <c r="T8" s="6" t="n">
        <f aca="false">J8-S8</f>
        <v>16518287.4205893</v>
      </c>
      <c r="U8" s="7"/>
      <c r="V8" s="8"/>
    </row>
    <row r="9" customFormat="false" ht="15" hidden="false" customHeight="false" outlineLevel="0" collapsed="false">
      <c r="A9" s="3" t="n">
        <v>45498</v>
      </c>
      <c r="B9" s="4" t="s">
        <v>23</v>
      </c>
      <c r="C9" s="3" t="n">
        <v>45533</v>
      </c>
      <c r="D9" s="4" t="s">
        <v>24</v>
      </c>
      <c r="E9" s="4" t="s">
        <v>22</v>
      </c>
      <c r="F9" s="5" t="n">
        <v>13250</v>
      </c>
      <c r="G9" s="4" t="n">
        <v>24450.1</v>
      </c>
      <c r="H9" s="4" t="n">
        <v>25158</v>
      </c>
      <c r="I9" s="6" t="n">
        <f aca="false">IF(D9="Short",G9-H9,H9-G9)</f>
        <v>-707.900000000002</v>
      </c>
      <c r="J9" s="6" t="n">
        <f aca="false">I9*F9</f>
        <v>-9379675.00000002</v>
      </c>
      <c r="K9" s="6" t="n">
        <f aca="false">IF(D9="Short",F9*G9,F9*H9)</f>
        <v>323963825</v>
      </c>
      <c r="L9" s="6" t="n">
        <f aca="false">IF(D9="Short",F9*H9,G9*F9)</f>
        <v>333343500</v>
      </c>
      <c r="M9" s="6" t="n">
        <f aca="false">K9+L9</f>
        <v>657307325</v>
      </c>
      <c r="N9" s="6" t="n">
        <f aca="false">K9*0.02%</f>
        <v>64792.765</v>
      </c>
      <c r="O9" s="6" t="n">
        <f aca="false">M9*0.00183%</f>
        <v>12028.7240475</v>
      </c>
      <c r="P9" s="6" t="n">
        <f aca="false">M9*0.0001%</f>
        <v>657.307325</v>
      </c>
      <c r="Q9" s="6" t="n">
        <f aca="false">L9*0.002%</f>
        <v>6666.87</v>
      </c>
      <c r="R9" s="6" t="n">
        <f aca="false">(O9+P9)*18%</f>
        <v>2283.48564705</v>
      </c>
      <c r="S9" s="6" t="n">
        <f aca="false">SUM(N9:R9)</f>
        <v>86429.15201955</v>
      </c>
      <c r="T9" s="6" t="n">
        <f aca="false">J9-S9</f>
        <v>-9466104.15201957</v>
      </c>
      <c r="U9" s="7"/>
      <c r="V9" s="8"/>
    </row>
    <row r="10" customFormat="false" ht="15" hidden="false" customHeight="false" outlineLevel="0" collapsed="false">
      <c r="A10" s="3" t="n">
        <v>45530</v>
      </c>
      <c r="B10" s="4" t="s">
        <v>20</v>
      </c>
      <c r="C10" s="3" t="n">
        <v>45565</v>
      </c>
      <c r="D10" s="4" t="s">
        <v>21</v>
      </c>
      <c r="E10" s="4" t="s">
        <v>22</v>
      </c>
      <c r="F10" s="5" t="n">
        <v>27450</v>
      </c>
      <c r="G10" s="4" t="n">
        <v>13120</v>
      </c>
      <c r="H10" s="4" t="n">
        <v>13272.75</v>
      </c>
      <c r="I10" s="6" t="n">
        <f aca="false">IF(D10="Short",G10-H10,H10-G10)</f>
        <v>152.75</v>
      </c>
      <c r="J10" s="6" t="n">
        <f aca="false">I10*F10</f>
        <v>4192987.5</v>
      </c>
      <c r="K10" s="6" t="n">
        <f aca="false">IF(D10="Short",F10*G10,F10*H10)</f>
        <v>364336987.5</v>
      </c>
      <c r="L10" s="6" t="n">
        <f aca="false">IF(D10="Short",F10*H10,G10*F10)</f>
        <v>360144000</v>
      </c>
      <c r="M10" s="6" t="n">
        <f aca="false">K10+L10</f>
        <v>724480987.5</v>
      </c>
      <c r="N10" s="6" t="n">
        <f aca="false">K10*0.02%</f>
        <v>72867.3975</v>
      </c>
      <c r="O10" s="6" t="n">
        <f aca="false">M10*0.00183%</f>
        <v>13258.00207125</v>
      </c>
      <c r="P10" s="6" t="n">
        <f aca="false">M10*0.0001%</f>
        <v>724.4809875</v>
      </c>
      <c r="Q10" s="6" t="n">
        <f aca="false">L10*0.002%</f>
        <v>7202.88</v>
      </c>
      <c r="R10" s="6" t="n">
        <f aca="false">(O10+P10)*18%</f>
        <v>2516.846950575</v>
      </c>
      <c r="S10" s="6" t="n">
        <f aca="false">SUM(N10:R10)</f>
        <v>96569.607509325</v>
      </c>
      <c r="T10" s="6" t="n">
        <f aca="false">J10-S10</f>
        <v>4096417.89249068</v>
      </c>
      <c r="U10" s="7"/>
      <c r="V10" s="8"/>
    </row>
    <row r="11" customFormat="false" ht="15" hidden="false" customHeight="false" outlineLevel="0" collapsed="false">
      <c r="A11" s="3" t="n">
        <v>45533</v>
      </c>
      <c r="B11" s="4" t="s">
        <v>23</v>
      </c>
      <c r="C11" s="3" t="n">
        <v>45561</v>
      </c>
      <c r="D11" s="4" t="s">
        <v>24</v>
      </c>
      <c r="E11" s="4" t="s">
        <v>22</v>
      </c>
      <c r="F11" s="5" t="n">
        <v>13250</v>
      </c>
      <c r="G11" s="4" t="n">
        <v>25258.4</v>
      </c>
      <c r="H11" s="4" t="n">
        <v>26215</v>
      </c>
      <c r="I11" s="6" t="n">
        <f aca="false">IF(D11="Short",G11-H11,H11-G11)</f>
        <v>-956.599999999999</v>
      </c>
      <c r="J11" s="6" t="n">
        <f aca="false">I11*F11</f>
        <v>-12674950</v>
      </c>
      <c r="K11" s="6" t="n">
        <f aca="false">IF(D11="Short",F11*G11,F11*H11)</f>
        <v>334673800</v>
      </c>
      <c r="L11" s="6" t="n">
        <f aca="false">IF(D11="Short",F11*H11,G11*F11)</f>
        <v>347348750</v>
      </c>
      <c r="M11" s="6" t="n">
        <f aca="false">K11+L11</f>
        <v>682022550</v>
      </c>
      <c r="N11" s="6" t="n">
        <f aca="false">K11*0.02%</f>
        <v>66934.76</v>
      </c>
      <c r="O11" s="6" t="n">
        <f aca="false">M11*0.00183%</f>
        <v>12481.012665</v>
      </c>
      <c r="P11" s="6" t="n">
        <f aca="false">M11*0.0001%</f>
        <v>682.02255</v>
      </c>
      <c r="Q11" s="6" t="n">
        <f aca="false">L11*0.002%</f>
        <v>6946.975</v>
      </c>
      <c r="R11" s="6" t="n">
        <f aca="false">(O11+P11)*18%</f>
        <v>2369.3463387</v>
      </c>
      <c r="S11" s="6" t="n">
        <f aca="false">SUM(N11:R11)</f>
        <v>89414.1165537</v>
      </c>
      <c r="T11" s="6" t="n">
        <f aca="false">J11-S11</f>
        <v>-12764364.1165537</v>
      </c>
      <c r="U11" s="7"/>
      <c r="V11" s="8"/>
    </row>
    <row r="12" customFormat="false" ht="15" hidden="false" customHeight="false" outlineLevel="0" collapsed="false">
      <c r="A12" s="3" t="n">
        <v>45565</v>
      </c>
      <c r="B12" s="4" t="s">
        <v>20</v>
      </c>
      <c r="C12" s="3" t="n">
        <v>45593</v>
      </c>
      <c r="D12" s="4" t="s">
        <v>21</v>
      </c>
      <c r="E12" s="4" t="s">
        <v>22</v>
      </c>
      <c r="F12" s="5" t="n">
        <v>27450</v>
      </c>
      <c r="G12" s="4" t="n">
        <v>13337.1</v>
      </c>
      <c r="H12" s="4" t="n">
        <v>12402.65</v>
      </c>
      <c r="I12" s="6" t="n">
        <f aca="false">IF(D12="Short",G12-H12,H12-G12)</f>
        <v>-934.450000000001</v>
      </c>
      <c r="J12" s="6" t="n">
        <f aca="false">I12*F12</f>
        <v>-25650652.5</v>
      </c>
      <c r="K12" s="6" t="n">
        <f aca="false">IF(D12="Short",F12*G12,F12*H12)</f>
        <v>340452742.5</v>
      </c>
      <c r="L12" s="6" t="n">
        <f aca="false">IF(D12="Short",F12*H12,G12*F12)</f>
        <v>366103395</v>
      </c>
      <c r="M12" s="6" t="n">
        <f aca="false">K12+L12</f>
        <v>706556137.5</v>
      </c>
      <c r="N12" s="6" t="n">
        <f aca="false">K12*0.02%</f>
        <v>68090.5485</v>
      </c>
      <c r="O12" s="6" t="n">
        <f aca="false">M12*0.00183%</f>
        <v>12929.97731625</v>
      </c>
      <c r="P12" s="6" t="n">
        <f aca="false">M12*0.0001%</f>
        <v>706.5561375</v>
      </c>
      <c r="Q12" s="6" t="n">
        <f aca="false">L12*0.002%</f>
        <v>7322.0679</v>
      </c>
      <c r="R12" s="6" t="n">
        <f aca="false">(O12+P12)*18%</f>
        <v>2454.576021675</v>
      </c>
      <c r="S12" s="6" t="n">
        <f aca="false">SUM(N12:R12)</f>
        <v>91503.725875425</v>
      </c>
      <c r="T12" s="6" t="n">
        <f aca="false">J12-S12</f>
        <v>-25742156.2258754</v>
      </c>
      <c r="U12" s="7"/>
      <c r="V12" s="8"/>
    </row>
    <row r="13" customFormat="false" ht="15" hidden="false" customHeight="false" outlineLevel="0" collapsed="false">
      <c r="A13" s="3" t="n">
        <v>45561</v>
      </c>
      <c r="B13" s="4" t="s">
        <v>23</v>
      </c>
      <c r="C13" s="3" t="n">
        <v>45596</v>
      </c>
      <c r="D13" s="4" t="s">
        <v>24</v>
      </c>
      <c r="E13" s="4" t="s">
        <v>22</v>
      </c>
      <c r="F13" s="5" t="n">
        <v>13250</v>
      </c>
      <c r="G13" s="4" t="n">
        <v>26308.55</v>
      </c>
      <c r="H13" s="4" t="n">
        <v>24209</v>
      </c>
      <c r="I13" s="6" t="n">
        <f aca="false">IF(D13="Short",G13-H13,H13-G13)</f>
        <v>2099.55</v>
      </c>
      <c r="J13" s="6" t="n">
        <f aca="false">I13*F13</f>
        <v>27819037.5</v>
      </c>
      <c r="K13" s="6" t="n">
        <f aca="false">IF(D13="Short",F13*G13,F13*H13)</f>
        <v>348588287.5</v>
      </c>
      <c r="L13" s="6" t="n">
        <f aca="false">IF(D13="Short",F13*H13,G13*F13)</f>
        <v>320769250</v>
      </c>
      <c r="M13" s="6" t="n">
        <f aca="false">K13+L13</f>
        <v>669357537.5</v>
      </c>
      <c r="N13" s="6" t="n">
        <f aca="false">K13*0.02%</f>
        <v>69717.6575</v>
      </c>
      <c r="O13" s="6" t="n">
        <f aca="false">M13*0.00183%</f>
        <v>12249.24293625</v>
      </c>
      <c r="P13" s="6" t="n">
        <f aca="false">M13*0.0001%</f>
        <v>669.3575375</v>
      </c>
      <c r="Q13" s="6" t="n">
        <f aca="false">L13*0.002%</f>
        <v>6415.385</v>
      </c>
      <c r="R13" s="6" t="n">
        <f aca="false">(O13+P13)*18%</f>
        <v>2325.348085275</v>
      </c>
      <c r="S13" s="6" t="n">
        <f aca="false">SUM(N13:R13)</f>
        <v>91376.991059025</v>
      </c>
      <c r="T13" s="6" t="n">
        <f aca="false">J13-S13</f>
        <v>27727660.508941</v>
      </c>
      <c r="V13" s="8"/>
    </row>
    <row r="14" customFormat="false" ht="15" hidden="false" customHeight="false" outlineLevel="0" collapsed="false">
      <c r="A14" s="3" t="n">
        <v>45593</v>
      </c>
      <c r="B14" s="4" t="s">
        <v>20</v>
      </c>
      <c r="C14" s="3" t="n">
        <v>45621</v>
      </c>
      <c r="D14" s="4" t="s">
        <v>21</v>
      </c>
      <c r="E14" s="4" t="s">
        <v>22</v>
      </c>
      <c r="F14" s="5" t="n">
        <v>27360</v>
      </c>
      <c r="G14" s="4" t="n">
        <v>12454.45</v>
      </c>
      <c r="H14" s="4" t="n">
        <v>12573.65</v>
      </c>
      <c r="I14" s="6" t="n">
        <f aca="false">IF(D14="Short",G14-H14,H14-G14)</f>
        <v>119.199999999999</v>
      </c>
      <c r="J14" s="6" t="n">
        <f aca="false">I14*F14</f>
        <v>3261311.99999997</v>
      </c>
      <c r="K14" s="6" t="n">
        <f aca="false">IF(D14="Short",F14*G14,F14*H14)</f>
        <v>344015064</v>
      </c>
      <c r="L14" s="6" t="n">
        <f aca="false">IF(D14="Short",F14*H14,G14*F14)</f>
        <v>340753752</v>
      </c>
      <c r="M14" s="6" t="n">
        <f aca="false">K14+L14</f>
        <v>684768816</v>
      </c>
      <c r="N14" s="6" t="n">
        <f aca="false">K14*0.02%</f>
        <v>68803.0128</v>
      </c>
      <c r="O14" s="6" t="n">
        <f aca="false">M14*0.00183%</f>
        <v>12531.2693328</v>
      </c>
      <c r="P14" s="6" t="n">
        <f aca="false">M14*0.0001%</f>
        <v>684.768816</v>
      </c>
      <c r="Q14" s="6" t="n">
        <f aca="false">L14*0.002%</f>
        <v>6815.07504</v>
      </c>
      <c r="R14" s="6" t="n">
        <f aca="false">(O14+P14)*18%</f>
        <v>2378.886866784</v>
      </c>
      <c r="S14" s="6" t="n">
        <f aca="false">SUM(N14:R14)</f>
        <v>91213.012855584</v>
      </c>
      <c r="T14" s="6" t="n">
        <f aca="false">J14-S14</f>
        <v>3170098.98714439</v>
      </c>
      <c r="V14" s="8"/>
    </row>
    <row r="15" customFormat="false" ht="15" hidden="false" customHeight="false" outlineLevel="0" collapsed="false">
      <c r="A15" s="3" t="n">
        <v>45596</v>
      </c>
      <c r="B15" s="4" t="s">
        <v>23</v>
      </c>
      <c r="C15" s="3" t="n">
        <v>45624</v>
      </c>
      <c r="D15" s="4" t="s">
        <v>24</v>
      </c>
      <c r="E15" s="4" t="s">
        <v>22</v>
      </c>
      <c r="F15" s="5" t="n">
        <v>13250</v>
      </c>
      <c r="G15" s="4" t="n">
        <v>24398.3</v>
      </c>
      <c r="H15" s="4" t="n">
        <v>23901.55</v>
      </c>
      <c r="I15" s="6" t="n">
        <f aca="false">IF(D15="Short",G15-H15,H15-G15)</f>
        <v>496.75</v>
      </c>
      <c r="J15" s="6" t="n">
        <f aca="false">I15*F15</f>
        <v>6581937.5</v>
      </c>
      <c r="K15" s="6" t="n">
        <f aca="false">IF(D15="Short",F15*G15,F15*H15)</f>
        <v>323277475</v>
      </c>
      <c r="L15" s="6" t="n">
        <f aca="false">IF(D15="Short",F15*H15,G15*F15)</f>
        <v>316695537.5</v>
      </c>
      <c r="M15" s="6" t="n">
        <f aca="false">K15+L15</f>
        <v>639973012.5</v>
      </c>
      <c r="N15" s="6" t="n">
        <f aca="false">K15*0.02%</f>
        <v>64655.495</v>
      </c>
      <c r="O15" s="6" t="n">
        <f aca="false">M15*0.00183%</f>
        <v>11711.50612875</v>
      </c>
      <c r="P15" s="6" t="n">
        <f aca="false">M15*0.0001%</f>
        <v>639.9730125</v>
      </c>
      <c r="Q15" s="6" t="n">
        <f aca="false">L15*0.002%</f>
        <v>6333.91075</v>
      </c>
      <c r="R15" s="6" t="n">
        <f aca="false">(O15+P15)*18%</f>
        <v>2223.266245425</v>
      </c>
      <c r="S15" s="6" t="n">
        <f aca="false">SUM(N15:R15)</f>
        <v>85564.151136675</v>
      </c>
      <c r="T15" s="6" t="n">
        <f aca="false">J15-S15</f>
        <v>6496373.34886333</v>
      </c>
      <c r="V15" s="8"/>
    </row>
    <row r="16" customFormat="false" ht="15" hidden="false" customHeight="false" outlineLevel="0" collapsed="false">
      <c r="A16" s="3" t="n">
        <v>45621</v>
      </c>
      <c r="B16" s="4" t="s">
        <v>20</v>
      </c>
      <c r="C16" s="3" t="n">
        <v>45656</v>
      </c>
      <c r="D16" s="4" t="s">
        <v>21</v>
      </c>
      <c r="E16" s="4" t="s">
        <v>22</v>
      </c>
      <c r="F16" s="5" t="n">
        <v>27360</v>
      </c>
      <c r="G16" s="4" t="n">
        <v>12660</v>
      </c>
      <c r="H16" s="4" t="n">
        <v>12993</v>
      </c>
      <c r="I16" s="6" t="n">
        <f aca="false">IF(D16="Short",G16-H16,H16-G16)</f>
        <v>333</v>
      </c>
      <c r="J16" s="6" t="n">
        <f aca="false">I16*F16</f>
        <v>9110880</v>
      </c>
      <c r="K16" s="6" t="n">
        <f aca="false">IF(D16="Short",F16*G16,F16*H16)</f>
        <v>355488480</v>
      </c>
      <c r="L16" s="6" t="n">
        <f aca="false">IF(D16="Short",F16*H16,G16*F16)</f>
        <v>346377600</v>
      </c>
      <c r="M16" s="6" t="n">
        <f aca="false">K16+L16</f>
        <v>701866080</v>
      </c>
      <c r="N16" s="6" t="n">
        <f aca="false">K16*0.02%</f>
        <v>71097.696</v>
      </c>
      <c r="O16" s="6" t="n">
        <f aca="false">M16*0.00183%</f>
        <v>12844.149264</v>
      </c>
      <c r="P16" s="6" t="n">
        <f aca="false">M16*0.0001%</f>
        <v>701.86608</v>
      </c>
      <c r="Q16" s="6" t="n">
        <f aca="false">L16*0.002%</f>
        <v>6927.552</v>
      </c>
      <c r="R16" s="6" t="n">
        <f aca="false">(O16+P16)*18%</f>
        <v>2438.28276192</v>
      </c>
      <c r="S16" s="6" t="n">
        <f aca="false">SUM(N16:R16)</f>
        <v>94009.54610592</v>
      </c>
      <c r="T16" s="6" t="n">
        <f aca="false">J16-S16</f>
        <v>9016870.45389408</v>
      </c>
      <c r="V16" s="8"/>
    </row>
    <row r="17" customFormat="false" ht="15" hidden="false" customHeight="false" outlineLevel="0" collapsed="false">
      <c r="A17" s="3" t="n">
        <v>45624</v>
      </c>
      <c r="B17" s="4" t="s">
        <v>23</v>
      </c>
      <c r="C17" s="3" t="n">
        <v>45652</v>
      </c>
      <c r="D17" s="4" t="s">
        <v>24</v>
      </c>
      <c r="E17" s="4" t="s">
        <v>22</v>
      </c>
      <c r="F17" s="5" t="n">
        <v>13250</v>
      </c>
      <c r="G17" s="4" t="n">
        <v>24111.85</v>
      </c>
      <c r="H17" s="4" t="n">
        <v>23749.8</v>
      </c>
      <c r="I17" s="6" t="n">
        <f aca="false">IF(D17="Short",G17-H17,H17-G17)</f>
        <v>362.049999999999</v>
      </c>
      <c r="J17" s="6" t="n">
        <f aca="false">I17*F17</f>
        <v>4797162.49999999</v>
      </c>
      <c r="K17" s="6" t="n">
        <f aca="false">IF(D17="Short",F17*G17,F17*H17)</f>
        <v>319482012.5</v>
      </c>
      <c r="L17" s="6" t="n">
        <f aca="false">IF(D17="Short",F17*H17,G17*F17)</f>
        <v>314684850</v>
      </c>
      <c r="M17" s="6" t="n">
        <f aca="false">K17+L17</f>
        <v>634166862.5</v>
      </c>
      <c r="N17" s="6" t="n">
        <f aca="false">K17*0.02%</f>
        <v>63896.4025</v>
      </c>
      <c r="O17" s="6" t="n">
        <f aca="false">M17*0.00183%</f>
        <v>11605.25358375</v>
      </c>
      <c r="P17" s="6" t="n">
        <f aca="false">M17*0.0001%</f>
        <v>634.1668625</v>
      </c>
      <c r="Q17" s="6" t="n">
        <f aca="false">L17*0.002%</f>
        <v>6293.697</v>
      </c>
      <c r="R17" s="6" t="n">
        <f aca="false">(O17+P17)*18%</f>
        <v>2203.095680325</v>
      </c>
      <c r="S17" s="6" t="n">
        <f aca="false">SUM(N17:R17)</f>
        <v>84632.615626575</v>
      </c>
      <c r="T17" s="6" t="n">
        <f aca="false">J17-S17</f>
        <v>4712529.88437342</v>
      </c>
      <c r="V17" s="8"/>
    </row>
    <row r="18" customFormat="false" ht="15" hidden="false" customHeight="false" outlineLevel="0" collapsed="false">
      <c r="A18" s="3" t="n">
        <v>45656</v>
      </c>
      <c r="B18" s="4" t="s">
        <v>20</v>
      </c>
      <c r="C18" s="3" t="n">
        <v>45687</v>
      </c>
      <c r="D18" s="4" t="s">
        <v>24</v>
      </c>
      <c r="E18" s="4" t="s">
        <v>22</v>
      </c>
      <c r="F18" s="5" t="n">
        <v>23040</v>
      </c>
      <c r="G18" s="4" t="n">
        <v>12997.05</v>
      </c>
      <c r="H18" s="4" t="n">
        <v>11800.65</v>
      </c>
      <c r="I18" s="6" t="n">
        <f aca="false">IF(D18="Short",G18-H18,H18-G18)</f>
        <v>1196.4</v>
      </c>
      <c r="J18" s="6" t="n">
        <f aca="false">I18*F18</f>
        <v>27565056</v>
      </c>
      <c r="K18" s="6" t="n">
        <f aca="false">IF(D18="Short",F18*G18,F18*H18)</f>
        <v>299452032</v>
      </c>
      <c r="L18" s="6" t="n">
        <f aca="false">IF(D18="Short",F18*H18,G18*F18)</f>
        <v>271886976</v>
      </c>
      <c r="M18" s="6" t="n">
        <f aca="false">K18+L18</f>
        <v>571339008</v>
      </c>
      <c r="N18" s="6" t="n">
        <f aca="false">K18*0.02%</f>
        <v>59890.4064</v>
      </c>
      <c r="O18" s="6" t="n">
        <f aca="false">M18*0.00183%</f>
        <v>10455.5038464</v>
      </c>
      <c r="P18" s="6" t="n">
        <f aca="false">M18*0.0001%</f>
        <v>571.339008</v>
      </c>
      <c r="Q18" s="6" t="n">
        <f aca="false">L18*0.002%</f>
        <v>5437.73952</v>
      </c>
      <c r="R18" s="6" t="n">
        <f aca="false">(O18+P18)*18%</f>
        <v>1984.831713792</v>
      </c>
      <c r="S18" s="6" t="n">
        <f aca="false">SUM(N18:R18)</f>
        <v>78339.820488192</v>
      </c>
      <c r="T18" s="6" t="n">
        <f aca="false">J18-S18</f>
        <v>27486716.1795118</v>
      </c>
      <c r="V18" s="8"/>
    </row>
    <row r="19" customFormat="false" ht="15" hidden="false" customHeight="false" outlineLevel="0" collapsed="false">
      <c r="A19" s="3" t="n">
        <v>45652</v>
      </c>
      <c r="B19" s="4" t="s">
        <v>23</v>
      </c>
      <c r="C19" s="3" t="n">
        <v>45687</v>
      </c>
      <c r="D19" s="4" t="s">
        <v>21</v>
      </c>
      <c r="E19" s="4" t="s">
        <v>22</v>
      </c>
      <c r="F19" s="5" t="n">
        <v>12525</v>
      </c>
      <c r="G19" s="4" t="n">
        <v>23925</v>
      </c>
      <c r="H19" s="4" t="n">
        <v>24281.45</v>
      </c>
      <c r="I19" s="6" t="n">
        <f aca="false">IF(D19="Short",G19-H19,H19-G19)</f>
        <v>356.450000000001</v>
      </c>
      <c r="J19" s="6" t="n">
        <f aca="false">I19*F19</f>
        <v>4464536.25000001</v>
      </c>
      <c r="K19" s="6" t="n">
        <f aca="false">IF(D19="Short",F19*G19,F19*H19)</f>
        <v>304125161.25</v>
      </c>
      <c r="L19" s="6" t="n">
        <f aca="false">IF(D19="Short",F19*H19,G19*F19)</f>
        <v>299660625</v>
      </c>
      <c r="M19" s="6" t="n">
        <f aca="false">K19+L19</f>
        <v>603785786.25</v>
      </c>
      <c r="N19" s="6" t="n">
        <f aca="false">K19*0.02%</f>
        <v>60825.03225</v>
      </c>
      <c r="O19" s="6" t="n">
        <f aca="false">M19*0.00183%</f>
        <v>11049.279888375</v>
      </c>
      <c r="P19" s="6" t="n">
        <f aca="false">M19*0.0001%</f>
        <v>603.78578625</v>
      </c>
      <c r="Q19" s="6" t="n">
        <f aca="false">L19*0.002%</f>
        <v>5993.2125</v>
      </c>
      <c r="R19" s="6" t="n">
        <f aca="false">(O19+P19)*18%</f>
        <v>2097.5518214325</v>
      </c>
      <c r="S19" s="6" t="n">
        <f aca="false">SUM(N19:R19)</f>
        <v>80568.8622460575</v>
      </c>
      <c r="T19" s="6" t="n">
        <f aca="false">J19-S19</f>
        <v>4383967.38775395</v>
      </c>
      <c r="V19" s="8"/>
    </row>
    <row r="20" customFormat="false" ht="15" hidden="false" customHeight="false" outlineLevel="0" collapsed="false">
      <c r="A20" s="3" t="n">
        <v>45687</v>
      </c>
      <c r="B20" s="4" t="s">
        <v>20</v>
      </c>
      <c r="C20" s="3" t="n">
        <v>45715</v>
      </c>
      <c r="D20" s="4" t="s">
        <v>24</v>
      </c>
      <c r="E20" s="4" t="s">
        <v>22</v>
      </c>
      <c r="F20" s="5" t="n">
        <v>23040</v>
      </c>
      <c r="G20" s="4" t="n">
        <v>11845.7</v>
      </c>
      <c r="H20" s="4" t="n">
        <v>10965</v>
      </c>
      <c r="I20" s="6" t="n">
        <f aca="false">IF(D20="Short",G20-H20,H20-G20)</f>
        <v>880.700000000001</v>
      </c>
      <c r="J20" s="6" t="n">
        <f aca="false">I20*F20</f>
        <v>20291328</v>
      </c>
      <c r="K20" s="6" t="n">
        <f aca="false">IF(D20="Short",F20*G20,F20*H20)</f>
        <v>272924928</v>
      </c>
      <c r="L20" s="6" t="n">
        <f aca="false">IF(D20="Short",F20*H20,G20*F20)</f>
        <v>252633600</v>
      </c>
      <c r="M20" s="6" t="n">
        <f aca="false">K20+L20</f>
        <v>525558528</v>
      </c>
      <c r="N20" s="6" t="n">
        <f aca="false">K20*0.02%</f>
        <v>54584.9856</v>
      </c>
      <c r="O20" s="6" t="n">
        <f aca="false">M20*0.00183%</f>
        <v>9617.7210624</v>
      </c>
      <c r="P20" s="6" t="n">
        <f aca="false">M20*0.0001%</f>
        <v>525.558528</v>
      </c>
      <c r="Q20" s="6" t="n">
        <f aca="false">L20*0.002%</f>
        <v>5052.672</v>
      </c>
      <c r="R20" s="6" t="n">
        <f aca="false">(O20+P20)*18%</f>
        <v>1825.790326272</v>
      </c>
      <c r="S20" s="6" t="n">
        <f aca="false">SUM(N20:R20)</f>
        <v>71606.727516672</v>
      </c>
      <c r="T20" s="6" t="n">
        <f aca="false">J20-S20</f>
        <v>20219721.2724833</v>
      </c>
      <c r="V20" s="8"/>
      <c r="W20" s="8"/>
    </row>
    <row r="21" customFormat="false" ht="15" hidden="false" customHeight="false" outlineLevel="0" collapsed="false">
      <c r="A21" s="3" t="n">
        <v>45687</v>
      </c>
      <c r="B21" s="4" t="s">
        <v>23</v>
      </c>
      <c r="C21" s="3" t="n">
        <v>45715</v>
      </c>
      <c r="D21" s="4" t="s">
        <v>21</v>
      </c>
      <c r="E21" s="4" t="s">
        <v>22</v>
      </c>
      <c r="F21" s="5" t="n">
        <v>12525</v>
      </c>
      <c r="G21" s="4" t="n">
        <v>23405.1</v>
      </c>
      <c r="H21" s="4" t="n">
        <v>22546.75</v>
      </c>
      <c r="I21" s="6" t="n">
        <f aca="false">IF(D21="Short",G21-H21,H21-G21)</f>
        <v>-858.349999999999</v>
      </c>
      <c r="J21" s="6" t="n">
        <f aca="false">I21*F21</f>
        <v>-10750833.75</v>
      </c>
      <c r="K21" s="6" t="n">
        <f aca="false">IF(D21="Short",F21*G21,F21*H21)</f>
        <v>282398043.75</v>
      </c>
      <c r="L21" s="6" t="n">
        <f aca="false">IF(D21="Short",F21*H21,G21*F21)</f>
        <v>293148877.5</v>
      </c>
      <c r="M21" s="6" t="n">
        <f aca="false">K21+L21</f>
        <v>575546921.25</v>
      </c>
      <c r="N21" s="6" t="n">
        <f aca="false">K21*0.02%</f>
        <v>56479.60875</v>
      </c>
      <c r="O21" s="6" t="n">
        <f aca="false">M21*0.00183%</f>
        <v>10532.508658875</v>
      </c>
      <c r="P21" s="6" t="n">
        <f aca="false">M21*0.0001%</f>
        <v>575.54692125</v>
      </c>
      <c r="Q21" s="6" t="n">
        <f aca="false">L21*0.002%</f>
        <v>5862.97755</v>
      </c>
      <c r="R21" s="6" t="n">
        <f aca="false">(O21+P21)*18%</f>
        <v>1999.4500044225</v>
      </c>
      <c r="S21" s="6" t="n">
        <f aca="false">SUM(N21:R21)</f>
        <v>75450.0918845475</v>
      </c>
      <c r="T21" s="6" t="n">
        <f aca="false">J21-S21</f>
        <v>-10826283.8418845</v>
      </c>
      <c r="V21" s="8"/>
    </row>
    <row r="22" customFormat="false" ht="15" hidden="false" customHeight="false" outlineLevel="0" collapsed="false">
      <c r="A22" s="3" t="n">
        <v>45715</v>
      </c>
      <c r="B22" s="4" t="s">
        <v>25</v>
      </c>
      <c r="C22" s="3" t="n">
        <v>45743</v>
      </c>
      <c r="D22" s="4" t="s">
        <v>21</v>
      </c>
      <c r="E22" s="4" t="s">
        <v>22</v>
      </c>
      <c r="F22" s="4" t="n">
        <v>6180</v>
      </c>
      <c r="G22" s="4" t="n">
        <v>48587.1</v>
      </c>
      <c r="H22" s="4" t="n">
        <v>51585.9</v>
      </c>
      <c r="I22" s="6" t="n">
        <f aca="false">IF(D22="Short",G22-H22,H22-G22)</f>
        <v>2998.8</v>
      </c>
      <c r="J22" s="6" t="n">
        <f aca="false">I22*F22</f>
        <v>18532584</v>
      </c>
      <c r="K22" s="6" t="n">
        <f aca="false">IF(D22="Short",F22*G22,F22*H22)</f>
        <v>318800862</v>
      </c>
      <c r="L22" s="6" t="n">
        <f aca="false">IF(D22="Short",F22*H22,G22*F22)</f>
        <v>300268278</v>
      </c>
      <c r="M22" s="6" t="n">
        <f aca="false">K22+L22</f>
        <v>619069140</v>
      </c>
      <c r="N22" s="6" t="n">
        <f aca="false">K22*0.02%</f>
        <v>63760.1724</v>
      </c>
      <c r="O22" s="6" t="n">
        <f aca="false">M22*0.00183%</f>
        <v>11328.965262</v>
      </c>
      <c r="P22" s="6" t="n">
        <f aca="false">M22*0.0001%</f>
        <v>619.06914</v>
      </c>
      <c r="Q22" s="6" t="n">
        <f aca="false">L22*0.002%</f>
        <v>6005.36556</v>
      </c>
      <c r="R22" s="6" t="n">
        <f aca="false">(O22+P22)*18%</f>
        <v>2150.64619236</v>
      </c>
      <c r="S22" s="6" t="n">
        <f aca="false">SUM(N22:R22)</f>
        <v>83864.21855436</v>
      </c>
      <c r="T22" s="6" t="n">
        <f aca="false">J22-S22</f>
        <v>18448719.7814457</v>
      </c>
      <c r="V22" s="8"/>
    </row>
    <row r="23" customFormat="false" ht="15" hidden="false" customHeight="false" outlineLevel="0" collapsed="false">
      <c r="A23" s="3" t="n">
        <v>45715</v>
      </c>
      <c r="B23" s="4" t="s">
        <v>23</v>
      </c>
      <c r="C23" s="3" t="n">
        <v>45743</v>
      </c>
      <c r="D23" s="4" t="s">
        <v>24</v>
      </c>
      <c r="E23" s="4" t="s">
        <v>22</v>
      </c>
      <c r="F23" s="4" t="n">
        <v>13200</v>
      </c>
      <c r="G23" s="4" t="n">
        <v>22686.45</v>
      </c>
      <c r="H23" s="4" t="n">
        <v>23590.75</v>
      </c>
      <c r="I23" s="6" t="n">
        <f aca="false">IF(D23="Short",G23-H23,H23-G23)</f>
        <v>-904.299999999999</v>
      </c>
      <c r="J23" s="6" t="n">
        <f aca="false">I23*F23</f>
        <v>-11936760</v>
      </c>
      <c r="K23" s="6" t="n">
        <f aca="false">IF(D23="Short",F23*G23,F23*H23)</f>
        <v>299461140</v>
      </c>
      <c r="L23" s="6" t="n">
        <f aca="false">IF(D23="Short",F23*H23,G23*F23)</f>
        <v>311397900</v>
      </c>
      <c r="M23" s="6" t="n">
        <f aca="false">K23+L23</f>
        <v>610859040</v>
      </c>
      <c r="N23" s="6" t="n">
        <f aca="false">K23*0.02%</f>
        <v>59892.228</v>
      </c>
      <c r="O23" s="6" t="n">
        <f aca="false">M23*0.00183%</f>
        <v>11178.720432</v>
      </c>
      <c r="P23" s="6" t="n">
        <f aca="false">M23*0.0001%</f>
        <v>610.85904</v>
      </c>
      <c r="Q23" s="6" t="n">
        <f aca="false">L23*0.002%</f>
        <v>6227.958</v>
      </c>
      <c r="R23" s="6" t="n">
        <f aca="false">(O23+P23)*18%</f>
        <v>2122.12430496</v>
      </c>
      <c r="S23" s="6" t="n">
        <f aca="false">SUM(N23:R23)</f>
        <v>80031.88977696</v>
      </c>
      <c r="T23" s="6" t="n">
        <f aca="false">J23-S23</f>
        <v>-12016791.889777</v>
      </c>
      <c r="V23" s="8"/>
    </row>
    <row r="24" customFormat="false" ht="15" hidden="false" customHeight="false" outlineLevel="0" collapsed="false">
      <c r="A24" s="3" t="n">
        <v>45743</v>
      </c>
      <c r="B24" s="4" t="s">
        <v>20</v>
      </c>
      <c r="C24" s="3" t="n">
        <v>45771</v>
      </c>
      <c r="D24" s="4" t="s">
        <v>21</v>
      </c>
      <c r="E24" s="4" t="s">
        <v>22</v>
      </c>
      <c r="F24" s="5" t="n">
        <v>27360</v>
      </c>
      <c r="G24" s="4" t="n">
        <v>11639</v>
      </c>
      <c r="H24" s="4" t="n">
        <v>12251</v>
      </c>
      <c r="I24" s="6" t="n">
        <f aca="false">IF(D24="Short",G24-H24,H24-G24)</f>
        <v>612</v>
      </c>
      <c r="J24" s="6" t="n">
        <f aca="false">I24*F24</f>
        <v>16744320</v>
      </c>
      <c r="K24" s="6" t="n">
        <f aca="false">IF(D24="Short",F24*G24,F24*H24)</f>
        <v>335187360</v>
      </c>
      <c r="L24" s="6" t="n">
        <f aca="false">IF(D24="Short",F24*H24,G24*F24)</f>
        <v>318443040</v>
      </c>
      <c r="M24" s="6" t="n">
        <f aca="false">K24+L24</f>
        <v>653630400</v>
      </c>
      <c r="N24" s="6" t="n">
        <f aca="false">K24*0.02%</f>
        <v>67037.472</v>
      </c>
      <c r="O24" s="6" t="n">
        <f aca="false">M24*0.00183%</f>
        <v>11961.43632</v>
      </c>
      <c r="P24" s="6" t="n">
        <f aca="false">M24*0.0001%</f>
        <v>653.6304</v>
      </c>
      <c r="Q24" s="6" t="n">
        <f aca="false">L24*0.002%</f>
        <v>6368.8608</v>
      </c>
      <c r="R24" s="6" t="n">
        <f aca="false">(O24+P24)*18%</f>
        <v>2270.7120096</v>
      </c>
      <c r="S24" s="6" t="n">
        <f aca="false">SUM(N24:R24)</f>
        <v>88292.1115296</v>
      </c>
      <c r="T24" s="6" t="n">
        <f aca="false">J24-S24</f>
        <v>16656027.8884704</v>
      </c>
      <c r="V24" s="8"/>
    </row>
    <row r="25" customFormat="false" ht="15" hidden="false" customHeight="false" outlineLevel="0" collapsed="false">
      <c r="A25" s="3" t="n">
        <v>45743</v>
      </c>
      <c r="B25" s="4" t="s">
        <v>23</v>
      </c>
      <c r="C25" s="3" t="n">
        <v>45771</v>
      </c>
      <c r="D25" s="4" t="s">
        <v>24</v>
      </c>
      <c r="E25" s="4" t="s">
        <v>22</v>
      </c>
      <c r="F25" s="5" t="n">
        <v>13200</v>
      </c>
      <c r="G25" s="4" t="n">
        <v>23756.05</v>
      </c>
      <c r="H25" s="4" t="n">
        <v>24246.5</v>
      </c>
      <c r="I25" s="6" t="n">
        <f aca="false">IF(D25="Short",G25-H25,H25-G25)</f>
        <v>-490.450000000001</v>
      </c>
      <c r="J25" s="6" t="n">
        <f aca="false">I25*F25</f>
        <v>-6473940.00000001</v>
      </c>
      <c r="K25" s="6" t="n">
        <f aca="false">IF(D25="Short",F25*G25,F25*H25)</f>
        <v>313579860</v>
      </c>
      <c r="L25" s="6" t="n">
        <f aca="false">IF(D25="Short",F25*H25,G25*F25)</f>
        <v>320053800</v>
      </c>
      <c r="M25" s="6" t="n">
        <f aca="false">K25+L25</f>
        <v>633633660</v>
      </c>
      <c r="N25" s="6" t="n">
        <f aca="false">K25*0.02%</f>
        <v>62715.972</v>
      </c>
      <c r="O25" s="6" t="n">
        <f aca="false">M25*0.00183%</f>
        <v>11595.495978</v>
      </c>
      <c r="P25" s="6" t="n">
        <f aca="false">M25*0.0001%</f>
        <v>633.63366</v>
      </c>
      <c r="Q25" s="6" t="n">
        <f aca="false">L25*0.002%</f>
        <v>6401.076</v>
      </c>
      <c r="R25" s="6" t="n">
        <f aca="false">(O25+P25)*18%</f>
        <v>2201.24333484</v>
      </c>
      <c r="S25" s="6" t="n">
        <f aca="false">SUM(N25:R25)</f>
        <v>83547.42097284</v>
      </c>
      <c r="T25" s="6" t="n">
        <f aca="false">J25-S25</f>
        <v>-6557487.42097285</v>
      </c>
      <c r="V25" s="8"/>
    </row>
    <row r="26" customFormat="false" ht="15" hidden="false" customHeight="false" outlineLevel="0" collapsed="false">
      <c r="A26" s="3" t="n">
        <v>45771</v>
      </c>
      <c r="B26" s="4" t="s">
        <v>20</v>
      </c>
      <c r="C26" s="3" t="n">
        <v>45806</v>
      </c>
      <c r="D26" s="4" t="s">
        <v>21</v>
      </c>
      <c r="E26" s="4" t="s">
        <v>22</v>
      </c>
      <c r="F26" s="5" t="n">
        <v>27300</v>
      </c>
      <c r="G26" s="4" t="n">
        <v>12272.8</v>
      </c>
      <c r="H26" s="4" t="n">
        <v>12702.6</v>
      </c>
      <c r="I26" s="6" t="n">
        <f aca="false">IF(D26="Short",G26-H26,H26-G26)</f>
        <v>429.800000000001</v>
      </c>
      <c r="J26" s="6" t="n">
        <f aca="false">I26*F26</f>
        <v>11733540</v>
      </c>
      <c r="K26" s="6" t="n">
        <f aca="false">IF(D26="Short",F26*G26,F26*H26)</f>
        <v>346780980</v>
      </c>
      <c r="L26" s="6" t="n">
        <f aca="false">IF(D26="Short",F26*H26,G26*F26)</f>
        <v>335047440</v>
      </c>
      <c r="M26" s="6" t="n">
        <f aca="false">K26+L26</f>
        <v>681828420</v>
      </c>
      <c r="N26" s="6" t="n">
        <f aca="false">K26*0.02%</f>
        <v>69356.196</v>
      </c>
      <c r="O26" s="6" t="n">
        <f aca="false">M26*0.00183%</f>
        <v>12477.460086</v>
      </c>
      <c r="P26" s="6" t="n">
        <f aca="false">M26*0.0001%</f>
        <v>681.82842</v>
      </c>
      <c r="Q26" s="6" t="n">
        <f aca="false">L26*0.002%</f>
        <v>6700.9488</v>
      </c>
      <c r="R26" s="6" t="n">
        <f aca="false">(O26+P26)*18%</f>
        <v>2368.67193108</v>
      </c>
      <c r="S26" s="6" t="n">
        <f aca="false">SUM(N26:R26)</f>
        <v>91585.10523708</v>
      </c>
      <c r="T26" s="6" t="n">
        <f aca="false">J26-S26</f>
        <v>11641954.894763</v>
      </c>
      <c r="V26" s="8"/>
    </row>
    <row r="27" customFormat="false" ht="15" hidden="false" customHeight="false" outlineLevel="0" collapsed="false">
      <c r="A27" s="3" t="n">
        <v>45771</v>
      </c>
      <c r="B27" s="4" t="s">
        <v>23</v>
      </c>
      <c r="C27" s="3" t="n">
        <v>45806</v>
      </c>
      <c r="D27" s="4" t="s">
        <v>24</v>
      </c>
      <c r="E27" s="4" t="s">
        <v>22</v>
      </c>
      <c r="F27" s="5" t="n">
        <v>13200</v>
      </c>
      <c r="G27" s="4" t="n">
        <v>24373.9</v>
      </c>
      <c r="H27" s="4" t="n">
        <v>24824.2</v>
      </c>
      <c r="I27" s="6" t="n">
        <f aca="false">IF(D27="Short",G27-H27,H27-G27)</f>
        <v>-450.299999999999</v>
      </c>
      <c r="J27" s="6" t="n">
        <f aca="false">I27*F27</f>
        <v>-5943959.99999999</v>
      </c>
      <c r="K27" s="6" t="n">
        <f aca="false">IF(D27="Short",F27*G27,F27*H27)</f>
        <v>321735480</v>
      </c>
      <c r="L27" s="6" t="n">
        <f aca="false">IF(D27="Short",F27*H27,G27*F27)</f>
        <v>327679440</v>
      </c>
      <c r="M27" s="6" t="n">
        <f aca="false">K27+L27</f>
        <v>649414920</v>
      </c>
      <c r="N27" s="6" t="n">
        <f aca="false">K27*0.02%</f>
        <v>64347.096</v>
      </c>
      <c r="O27" s="6" t="n">
        <f aca="false">M27*0.00183%</f>
        <v>11884.293036</v>
      </c>
      <c r="P27" s="6" t="n">
        <f aca="false">M27*0.0001%</f>
        <v>649.41492</v>
      </c>
      <c r="Q27" s="6" t="n">
        <f aca="false">L27*0.002%</f>
        <v>6553.5888</v>
      </c>
      <c r="R27" s="6" t="n">
        <f aca="false">(O27+P27)*18%</f>
        <v>2256.06743208</v>
      </c>
      <c r="S27" s="6" t="n">
        <f aca="false">SUM(N27:R27)</f>
        <v>85690.46018808</v>
      </c>
      <c r="T27" s="6" t="n">
        <f aca="false">J27-S27</f>
        <v>-6029650.46018807</v>
      </c>
      <c r="V27" s="8"/>
    </row>
    <row r="28" customFormat="false" ht="15" hidden="false" customHeight="false" outlineLevel="0" collapsed="false">
      <c r="A28" s="3" t="n">
        <v>45806</v>
      </c>
      <c r="B28" s="4" t="s">
        <v>20</v>
      </c>
      <c r="C28" s="3" t="n">
        <v>45834</v>
      </c>
      <c r="D28" s="4" t="s">
        <v>21</v>
      </c>
      <c r="E28" s="4" t="s">
        <v>22</v>
      </c>
      <c r="F28" s="5" t="n">
        <v>27300</v>
      </c>
      <c r="G28" s="4" t="n">
        <v>12790</v>
      </c>
      <c r="H28" s="4" t="n">
        <v>13300.7</v>
      </c>
      <c r="I28" s="6" t="n">
        <f aca="false">IF(D28="Short",G28-H28,H28-G28)</f>
        <v>510.700000000001</v>
      </c>
      <c r="J28" s="6" t="n">
        <f aca="false">I28*F28</f>
        <v>13942110</v>
      </c>
      <c r="K28" s="6" t="n">
        <f aca="false">IF(D28="Short",F28*G28,F28*H28)</f>
        <v>363109110</v>
      </c>
      <c r="L28" s="6" t="n">
        <f aca="false">IF(D28="Short",F28*H28,G28*F28)</f>
        <v>349167000</v>
      </c>
      <c r="M28" s="6" t="n">
        <f aca="false">K28+L28</f>
        <v>712276110</v>
      </c>
      <c r="N28" s="6" t="n">
        <f aca="false">K28*0.02%</f>
        <v>72621.822</v>
      </c>
      <c r="O28" s="6" t="n">
        <f aca="false">M28*0.00183%</f>
        <v>13034.652813</v>
      </c>
      <c r="P28" s="6" t="n">
        <f aca="false">M28*0.0001%</f>
        <v>712.27611</v>
      </c>
      <c r="Q28" s="6" t="n">
        <f aca="false">L28*0.002%</f>
        <v>6983.34</v>
      </c>
      <c r="R28" s="6" t="n">
        <f aca="false">(O28+P28)*18%</f>
        <v>2474.44720614</v>
      </c>
      <c r="S28" s="6" t="n">
        <f aca="false">SUM(N28:R28)</f>
        <v>95826.53812914</v>
      </c>
      <c r="T28" s="6" t="n">
        <f aca="false">J28-S28</f>
        <v>13846283.4618709</v>
      </c>
      <c r="V28" s="8"/>
    </row>
    <row r="29" customFormat="false" ht="15" hidden="false" customHeight="false" outlineLevel="0" collapsed="false">
      <c r="A29" s="3" t="n">
        <v>45806</v>
      </c>
      <c r="B29" s="4" t="s">
        <v>23</v>
      </c>
      <c r="C29" s="3" t="n">
        <v>45834</v>
      </c>
      <c r="D29" s="4" t="s">
        <v>24</v>
      </c>
      <c r="E29" s="4" t="s">
        <v>22</v>
      </c>
      <c r="F29" s="5" t="n">
        <v>13200</v>
      </c>
      <c r="G29" s="4" t="n">
        <v>24939.2</v>
      </c>
      <c r="H29" s="4" t="n">
        <v>25545.8</v>
      </c>
      <c r="I29" s="6" t="n">
        <f aca="false">IF(D29="Short",G29-H29,H29-G29)</f>
        <v>-606.599999999999</v>
      </c>
      <c r="J29" s="6" t="n">
        <f aca="false">I29*F29</f>
        <v>-8007119.99999998</v>
      </c>
      <c r="K29" s="6" t="n">
        <f aca="false">IF(D29="Short",F29*G29,F29*H29)</f>
        <v>329197440</v>
      </c>
      <c r="L29" s="6" t="n">
        <f aca="false">IF(D29="Short",F29*H29,G29*F29)</f>
        <v>337204560</v>
      </c>
      <c r="M29" s="6" t="n">
        <f aca="false">K29+L29</f>
        <v>666402000</v>
      </c>
      <c r="N29" s="6" t="n">
        <f aca="false">K29*0.02%</f>
        <v>65839.488</v>
      </c>
      <c r="O29" s="6" t="n">
        <f aca="false">M29*0.00183%</f>
        <v>12195.1566</v>
      </c>
      <c r="P29" s="6" t="n">
        <f aca="false">M29*0.0001%</f>
        <v>666.402</v>
      </c>
      <c r="Q29" s="6" t="n">
        <f aca="false">L29*0.002%</f>
        <v>6744.0912</v>
      </c>
      <c r="R29" s="6" t="n">
        <f aca="false">(O29+P29)*18%</f>
        <v>2315.080548</v>
      </c>
      <c r="S29" s="6" t="n">
        <f aca="false">SUM(N29:R29)</f>
        <v>87760.218348</v>
      </c>
      <c r="T29" s="6" t="n">
        <f aca="false">J29-S29</f>
        <v>-8094880.21834798</v>
      </c>
      <c r="V29" s="8"/>
    </row>
    <row r="30" customFormat="false" ht="15" hidden="false" customHeight="false" outlineLevel="0" collapsed="false">
      <c r="A30" s="3" t="n">
        <v>45834</v>
      </c>
      <c r="B30" s="4" t="s">
        <v>20</v>
      </c>
      <c r="C30" s="3" t="n">
        <v>45869</v>
      </c>
      <c r="D30" s="4" t="s">
        <v>21</v>
      </c>
      <c r="E30" s="4" t="s">
        <v>22</v>
      </c>
      <c r="F30" s="5" t="n">
        <v>27300</v>
      </c>
      <c r="G30" s="4" t="n">
        <v>13382.05</v>
      </c>
      <c r="H30" s="4" t="n">
        <v>12869.55</v>
      </c>
      <c r="I30" s="6" t="n">
        <f aca="false">IF(D30="Short",G30-H30,H30-G30)</f>
        <v>-512.5</v>
      </c>
      <c r="J30" s="6" t="n">
        <f aca="false">I30*F30</f>
        <v>-13991250</v>
      </c>
      <c r="K30" s="6" t="n">
        <f aca="false">IF(D30="Short",F30*G30,F30*H30)</f>
        <v>351338715</v>
      </c>
      <c r="L30" s="6" t="n">
        <f aca="false">IF(D30="Short",F30*H30,G30*F30)</f>
        <v>365329965</v>
      </c>
      <c r="M30" s="6" t="n">
        <f aca="false">K30+L30</f>
        <v>716668680</v>
      </c>
      <c r="N30" s="6" t="n">
        <f aca="false">K30*0.02%</f>
        <v>70267.743</v>
      </c>
      <c r="O30" s="6" t="n">
        <f aca="false">M30*0.00183%</f>
        <v>13115.036844</v>
      </c>
      <c r="P30" s="6" t="n">
        <f aca="false">M30*0.0001%</f>
        <v>716.66868</v>
      </c>
      <c r="Q30" s="6" t="n">
        <f aca="false">L30*0.002%</f>
        <v>7306.5993</v>
      </c>
      <c r="R30" s="6" t="n">
        <f aca="false">(O30+P30)*18%</f>
        <v>2489.70699432</v>
      </c>
      <c r="S30" s="6" t="n">
        <f aca="false">SUM(N30:R30)</f>
        <v>93895.75481832</v>
      </c>
      <c r="T30" s="6" t="n">
        <f aca="false">J30-S30</f>
        <v>-14085145.7548183</v>
      </c>
      <c r="V30" s="8"/>
    </row>
    <row r="31" customFormat="false" ht="15" hidden="false" customHeight="false" outlineLevel="0" collapsed="false">
      <c r="A31" s="3" t="n">
        <v>45834</v>
      </c>
      <c r="B31" s="4" t="s">
        <v>23</v>
      </c>
      <c r="C31" s="3" t="n">
        <v>45869</v>
      </c>
      <c r="D31" s="4" t="s">
        <v>24</v>
      </c>
      <c r="E31" s="4" t="s">
        <v>22</v>
      </c>
      <c r="F31" s="5" t="n">
        <v>13200</v>
      </c>
      <c r="G31" s="4" t="n">
        <v>25606.6</v>
      </c>
      <c r="H31" s="4" t="n">
        <v>24767.4</v>
      </c>
      <c r="I31" s="6" t="n">
        <f aca="false">IF(D31="Short",G31-H31,H31-G31)</f>
        <v>839.199999999997</v>
      </c>
      <c r="J31" s="6" t="n">
        <f aca="false">I31*F31</f>
        <v>11077440</v>
      </c>
      <c r="K31" s="6" t="n">
        <f aca="false">IF(D31="Short",F31*G31,F31*H31)</f>
        <v>338007120</v>
      </c>
      <c r="L31" s="6" t="n">
        <f aca="false">IF(D31="Short",F31*H31,G31*F31)</f>
        <v>326929680</v>
      </c>
      <c r="M31" s="6" t="n">
        <f aca="false">K31+L31</f>
        <v>664936800</v>
      </c>
      <c r="N31" s="6" t="n">
        <f aca="false">K31*0.02%</f>
        <v>67601.424</v>
      </c>
      <c r="O31" s="6" t="n">
        <f aca="false">M31*0.00183%</f>
        <v>12168.34344</v>
      </c>
      <c r="P31" s="6" t="n">
        <f aca="false">M31*0.0001%</f>
        <v>664.9368</v>
      </c>
      <c r="Q31" s="6" t="n">
        <f aca="false">L31*0.002%</f>
        <v>6538.5936</v>
      </c>
      <c r="R31" s="6" t="n">
        <f aca="false">(O31+P31)*18%</f>
        <v>2309.9904432</v>
      </c>
      <c r="S31" s="6" t="n">
        <f aca="false">SUM(N31:R31)</f>
        <v>89283.2882832</v>
      </c>
      <c r="T31" s="6" t="n">
        <f aca="false">J31-S31</f>
        <v>10988156.7117168</v>
      </c>
      <c r="V31" s="8"/>
    </row>
    <row r="32" customFormat="false" ht="15" hidden="false" customHeight="false" outlineLevel="0" collapsed="false">
      <c r="A32" s="3" t="n">
        <v>45869</v>
      </c>
      <c r="B32" s="4" t="s">
        <v>20</v>
      </c>
      <c r="C32" s="3" t="n">
        <v>45897</v>
      </c>
      <c r="D32" s="4" t="s">
        <v>21</v>
      </c>
      <c r="E32" s="4" t="s">
        <v>22</v>
      </c>
      <c r="F32" s="5" t="n">
        <v>27300</v>
      </c>
      <c r="G32" s="4" t="n">
        <v>12911.3</v>
      </c>
      <c r="H32" s="4" t="n">
        <v>12536.6</v>
      </c>
      <c r="I32" s="6" t="n">
        <f aca="false">IF(D32="Short",G32-H32,H32-G32)</f>
        <v>-374.699999999999</v>
      </c>
      <c r="J32" s="6" t="n">
        <f aca="false">I32*F32</f>
        <v>-10229310</v>
      </c>
      <c r="K32" s="6" t="n">
        <f aca="false">IF(D32="Short",F32*G32,F32*H32)</f>
        <v>342249180</v>
      </c>
      <c r="L32" s="6" t="n">
        <f aca="false">IF(D32="Short",F32*H32,G32*F32)</f>
        <v>352478490</v>
      </c>
      <c r="M32" s="6" t="n">
        <f aca="false">K32+L32</f>
        <v>694727670</v>
      </c>
      <c r="N32" s="6" t="n">
        <f aca="false">K32*0.02%</f>
        <v>68449.836</v>
      </c>
      <c r="O32" s="6" t="n">
        <f aca="false">M32*0.00183%</f>
        <v>12713.516361</v>
      </c>
      <c r="P32" s="6" t="n">
        <f aca="false">M32*0.0001%</f>
        <v>694.72767</v>
      </c>
      <c r="Q32" s="6" t="n">
        <f aca="false">L32*0.002%</f>
        <v>7049.5698</v>
      </c>
      <c r="R32" s="6" t="n">
        <f aca="false">(O32+P32)*18%</f>
        <v>2413.48392558</v>
      </c>
      <c r="S32" s="6" t="n">
        <f aca="false">SUM(N32:R32)</f>
        <v>91321.13375658</v>
      </c>
      <c r="T32" s="6" t="n">
        <f aca="false">J32-S32</f>
        <v>-10320631.1337566</v>
      </c>
      <c r="V32" s="8"/>
    </row>
    <row r="33" customFormat="false" ht="15" hidden="false" customHeight="false" outlineLevel="0" collapsed="false">
      <c r="A33" s="3" t="n">
        <v>45869</v>
      </c>
      <c r="B33" s="4" t="s">
        <v>23</v>
      </c>
      <c r="C33" s="3" t="n">
        <v>45897</v>
      </c>
      <c r="D33" s="4" t="s">
        <v>24</v>
      </c>
      <c r="E33" s="4" t="s">
        <v>22</v>
      </c>
      <c r="F33" s="5" t="n">
        <v>13200</v>
      </c>
      <c r="G33" s="4" t="n">
        <v>24860</v>
      </c>
      <c r="H33" s="4" t="n">
        <v>24494.6</v>
      </c>
      <c r="I33" s="6" t="n">
        <f aca="false">IF(D33="Short",G33-H33,H33-G33)</f>
        <v>365.400000000001</v>
      </c>
      <c r="J33" s="6" t="n">
        <f aca="false">I33*F33</f>
        <v>4823280.00000002</v>
      </c>
      <c r="K33" s="6" t="n">
        <f aca="false">IF(D33="Short",F33*G33,F33*H33)</f>
        <v>328152000</v>
      </c>
      <c r="L33" s="6" t="n">
        <f aca="false">IF(D33="Short",F33*H33,G33*F33)</f>
        <v>323328720</v>
      </c>
      <c r="M33" s="6" t="n">
        <f aca="false">K33+L33</f>
        <v>651480720</v>
      </c>
      <c r="N33" s="6" t="n">
        <f aca="false">K33*0.02%</f>
        <v>65630.4</v>
      </c>
      <c r="O33" s="6" t="n">
        <f aca="false">M33*0.00183%</f>
        <v>11922.097176</v>
      </c>
      <c r="P33" s="6" t="n">
        <f aca="false">M33*0.0001%</f>
        <v>651.48072</v>
      </c>
      <c r="Q33" s="6" t="n">
        <f aca="false">L33*0.002%</f>
        <v>6466.5744</v>
      </c>
      <c r="R33" s="6" t="n">
        <f aca="false">(O33+P33)*18%</f>
        <v>2263.24402128</v>
      </c>
      <c r="S33" s="6" t="n">
        <f aca="false">SUM(N33:R33)</f>
        <v>86933.79631728</v>
      </c>
      <c r="T33" s="6" t="n">
        <f aca="false">J33-S33</f>
        <v>4736346.20368274</v>
      </c>
      <c r="V33" s="8"/>
    </row>
    <row r="34" customFormat="false" ht="15" hidden="false" customHeight="false" outlineLevel="0" collapsed="false">
      <c r="A34" s="3" t="n">
        <v>45897</v>
      </c>
      <c r="B34" s="4" t="s">
        <v>20</v>
      </c>
      <c r="C34" s="3" t="n">
        <v>45930</v>
      </c>
      <c r="D34" s="4" t="s">
        <v>21</v>
      </c>
      <c r="E34" s="4" t="s">
        <v>22</v>
      </c>
      <c r="F34" s="5" t="n">
        <v>27300</v>
      </c>
      <c r="G34" s="4" t="n">
        <v>12590.35</v>
      </c>
      <c r="H34" s="4" t="n">
        <v>12600</v>
      </c>
      <c r="I34" s="6" t="n">
        <f aca="false">IF(D34="Short",G34-H34,H34-G34)</f>
        <v>9.64999999999964</v>
      </c>
      <c r="J34" s="6" t="n">
        <f aca="false">I34*F34</f>
        <v>263444.99999999</v>
      </c>
      <c r="K34" s="6" t="n">
        <f aca="false">IF(D34="Short",F34*G34,F34*H34)</f>
        <v>343980000</v>
      </c>
      <c r="L34" s="6" t="n">
        <f aca="false">IF(D34="Short",F34*H34,G34*F34)</f>
        <v>343716555</v>
      </c>
      <c r="M34" s="6" t="n">
        <f aca="false">K34+L34</f>
        <v>687696555</v>
      </c>
      <c r="N34" s="6" t="n">
        <f aca="false">K34*0.02%</f>
        <v>68796</v>
      </c>
      <c r="O34" s="6" t="n">
        <f aca="false">M34*0.00183%</f>
        <v>12584.8469565</v>
      </c>
      <c r="P34" s="6" t="n">
        <f aca="false">M34*0.0001%</f>
        <v>687.696555</v>
      </c>
      <c r="Q34" s="6" t="n">
        <f aca="false">L34*0.002%</f>
        <v>6874.3311</v>
      </c>
      <c r="R34" s="6" t="n">
        <f aca="false">(O34+P34)*18%</f>
        <v>2389.05783207</v>
      </c>
      <c r="S34" s="6" t="n">
        <f aca="false">SUM(N34:R34)</f>
        <v>91331.93244357</v>
      </c>
      <c r="T34" s="6" t="n">
        <f aca="false">J34-S34</f>
        <v>172113.06755642</v>
      </c>
      <c r="V34" s="8"/>
    </row>
    <row r="35" customFormat="false" ht="15" hidden="false" customHeight="false" outlineLevel="0" collapsed="false">
      <c r="A35" s="3" t="n">
        <v>45897</v>
      </c>
      <c r="B35" s="4" t="s">
        <v>23</v>
      </c>
      <c r="C35" s="3" t="n">
        <v>45930</v>
      </c>
      <c r="D35" s="4" t="s">
        <v>24</v>
      </c>
      <c r="E35" s="4" t="s">
        <v>22</v>
      </c>
      <c r="F35" s="5" t="n">
        <v>13200</v>
      </c>
      <c r="G35" s="4" t="n">
        <v>24646.6</v>
      </c>
      <c r="H35" s="4" t="n">
        <v>24609</v>
      </c>
      <c r="I35" s="6" t="n">
        <f aca="false">IF(D35="Short",G35-H35,H35-G35)</f>
        <v>37.5999999999985</v>
      </c>
      <c r="J35" s="6" t="n">
        <f aca="false">I35*F35</f>
        <v>496319.999999981</v>
      </c>
      <c r="K35" s="6" t="n">
        <f aca="false">IF(D35="Short",F35*G35,F35*H35)</f>
        <v>325335120</v>
      </c>
      <c r="L35" s="6" t="n">
        <f aca="false">IF(D35="Short",F35*H35,G35*F35)</f>
        <v>324838800</v>
      </c>
      <c r="M35" s="6" t="n">
        <f aca="false">K35+L35</f>
        <v>650173920</v>
      </c>
      <c r="N35" s="6" t="n">
        <f aca="false">K35*0.02%</f>
        <v>65067.024</v>
      </c>
      <c r="O35" s="6" t="n">
        <f aca="false">M35*0.00183%</f>
        <v>11898.182736</v>
      </c>
      <c r="P35" s="6" t="n">
        <f aca="false">M35*0.0001%</f>
        <v>650.17392</v>
      </c>
      <c r="Q35" s="6" t="n">
        <f aca="false">L35*0.002%</f>
        <v>6496.776</v>
      </c>
      <c r="R35" s="6" t="n">
        <f aca="false">(O35+P35)*18%</f>
        <v>2258.70419808</v>
      </c>
      <c r="S35" s="6" t="n">
        <f aca="false">SUM(N35:R35)</f>
        <v>86370.86085408</v>
      </c>
      <c r="T35" s="6" t="n">
        <f aca="false">J35-S35</f>
        <v>409949.139145901</v>
      </c>
      <c r="V35" s="8"/>
    </row>
    <row r="36" customFormat="false" ht="15" hidden="false" customHeight="false" outlineLevel="0" collapsed="false">
      <c r="A36" s="3" t="n">
        <v>45930</v>
      </c>
      <c r="B36" s="4" t="s">
        <v>20</v>
      </c>
      <c r="C36" s="3" t="n">
        <v>45958</v>
      </c>
      <c r="D36" s="4" t="s">
        <v>21</v>
      </c>
      <c r="E36" s="4" t="s">
        <v>22</v>
      </c>
      <c r="F36" s="5" t="n">
        <v>27300</v>
      </c>
      <c r="G36" s="4" t="n">
        <v>12663.3</v>
      </c>
      <c r="H36" s="4" t="n">
        <v>13366</v>
      </c>
      <c r="I36" s="6" t="n">
        <f aca="false">IF(D36="Short",G36-H36,H36-G36)</f>
        <v>702.700000000001</v>
      </c>
      <c r="J36" s="6" t="n">
        <f aca="false">I36*F36</f>
        <v>19183710</v>
      </c>
      <c r="K36" s="6" t="n">
        <f aca="false">IF(D36="Short",F36*G36,F36*H36)</f>
        <v>364891800</v>
      </c>
      <c r="L36" s="6" t="n">
        <f aca="false">IF(D36="Short",F36*H36,G36*F36)</f>
        <v>345708090</v>
      </c>
      <c r="M36" s="6" t="n">
        <f aca="false">K36+L36</f>
        <v>710599890</v>
      </c>
      <c r="N36" s="6" t="n">
        <f aca="false">K36*0.02%</f>
        <v>72978.36</v>
      </c>
      <c r="O36" s="6" t="n">
        <f aca="false">M36*0.00183%</f>
        <v>13003.977987</v>
      </c>
      <c r="P36" s="6" t="n">
        <f aca="false">M36*0.0001%</f>
        <v>710.59989</v>
      </c>
      <c r="Q36" s="6" t="n">
        <f aca="false">L36*0.002%</f>
        <v>6914.1618</v>
      </c>
      <c r="R36" s="6" t="n">
        <f aca="false">(O36+P36)*18%</f>
        <v>2468.62401786</v>
      </c>
      <c r="S36" s="6" t="n">
        <f aca="false">SUM(N36:R36)</f>
        <v>96075.72369486</v>
      </c>
      <c r="T36" s="6" t="n">
        <f aca="false">J36-S36</f>
        <v>19087634.2763052</v>
      </c>
      <c r="V36" s="8"/>
    </row>
    <row r="37" customFormat="false" ht="15" hidden="false" customHeight="false" outlineLevel="0" collapsed="false">
      <c r="A37" s="3" t="n">
        <v>45930</v>
      </c>
      <c r="B37" s="4" t="s">
        <v>23</v>
      </c>
      <c r="C37" s="3" t="n">
        <v>45958</v>
      </c>
      <c r="D37" s="4" t="s">
        <v>24</v>
      </c>
      <c r="E37" s="4" t="s">
        <v>22</v>
      </c>
      <c r="F37" s="5" t="n">
        <v>13200</v>
      </c>
      <c r="G37" s="4" t="n">
        <v>24771.2</v>
      </c>
      <c r="H37" s="4" t="n">
        <v>25940</v>
      </c>
      <c r="I37" s="6" t="n">
        <f aca="false">IF(D37="Short",G37-H37,H37-G37)</f>
        <v>-1168.8</v>
      </c>
      <c r="J37" s="6" t="n">
        <f aca="false">I37*F37</f>
        <v>-15428160</v>
      </c>
      <c r="K37" s="6" t="n">
        <f aca="false">IF(D37="Short",F37*G37,F37*H37)</f>
        <v>326979840</v>
      </c>
      <c r="L37" s="6" t="n">
        <f aca="false">IF(D37="Short",F37*H37,G37*F37)</f>
        <v>342408000</v>
      </c>
      <c r="M37" s="6" t="n">
        <f aca="false">K37+L37</f>
        <v>669387840</v>
      </c>
      <c r="N37" s="6" t="n">
        <f aca="false">K37*0.02%</f>
        <v>65395.968</v>
      </c>
      <c r="O37" s="6" t="n">
        <f aca="false">M37*0.00183%</f>
        <v>12249.797472</v>
      </c>
      <c r="P37" s="6" t="n">
        <f aca="false">M37*0.0001%</f>
        <v>669.38784</v>
      </c>
      <c r="Q37" s="6" t="n">
        <f aca="false">L37*0.002%</f>
        <v>6848.16</v>
      </c>
      <c r="R37" s="6" t="n">
        <f aca="false">(O37+P37)*18%</f>
        <v>2325.45335616</v>
      </c>
      <c r="S37" s="6" t="n">
        <f aca="false">SUM(N37:R37)</f>
        <v>87488.76666816</v>
      </c>
      <c r="T37" s="6" t="n">
        <f aca="false">J37-S37</f>
        <v>-15515648.7666682</v>
      </c>
      <c r="V37" s="8"/>
    </row>
    <row r="38" customFormat="false" ht="15" hidden="false" customHeight="false" outlineLevel="0" collapsed="false">
      <c r="A38" s="3" t="n">
        <v>45958</v>
      </c>
      <c r="B38" s="4" t="s">
        <v>20</v>
      </c>
      <c r="C38" s="3" t="n">
        <v>45986</v>
      </c>
      <c r="D38" s="4" t="s">
        <v>21</v>
      </c>
      <c r="E38" s="4" t="s">
        <v>22</v>
      </c>
      <c r="F38" s="5" t="n">
        <v>27300</v>
      </c>
      <c r="G38" s="4" t="n">
        <v>13443.45</v>
      </c>
      <c r="H38" s="4" t="n">
        <v>13809.65</v>
      </c>
      <c r="I38" s="6" t="n">
        <f aca="false">IF(D38="Short",G38-H38,H38-G38)</f>
        <v>366.199999999999</v>
      </c>
      <c r="J38" s="6" t="n">
        <f aca="false">I38*F38</f>
        <v>9997259.99999997</v>
      </c>
      <c r="K38" s="6" t="n">
        <f aca="false">IF(D38="Short",F38*G38,F38*H38)</f>
        <v>377003445</v>
      </c>
      <c r="L38" s="6" t="n">
        <f aca="false">IF(D38="Short",F38*H38,G38*F38)</f>
        <v>367006185</v>
      </c>
      <c r="M38" s="6" t="n">
        <f aca="false">K38+L38</f>
        <v>744009630</v>
      </c>
      <c r="N38" s="6" t="n">
        <f aca="false">K38*0.02%</f>
        <v>75400.689</v>
      </c>
      <c r="O38" s="6" t="n">
        <f aca="false">M38*0.00183%</f>
        <v>13615.376229</v>
      </c>
      <c r="P38" s="6" t="n">
        <f aca="false">M38*0.0001%</f>
        <v>744.00963</v>
      </c>
      <c r="Q38" s="6" t="n">
        <f aca="false">L38*0.002%</f>
        <v>7340.1237</v>
      </c>
      <c r="R38" s="6" t="n">
        <f aca="false">(O38+P38)*18%</f>
        <v>2584.68945462</v>
      </c>
      <c r="S38" s="6" t="n">
        <f aca="false">SUM(N38:R38)</f>
        <v>99684.88801362</v>
      </c>
      <c r="T38" s="6" t="n">
        <f aca="false">J38-S38</f>
        <v>9897575.11198635</v>
      </c>
      <c r="V38" s="8"/>
    </row>
    <row r="39" customFormat="false" ht="15" hidden="false" customHeight="false" outlineLevel="0" collapsed="false">
      <c r="A39" s="3" t="n">
        <v>45958</v>
      </c>
      <c r="B39" s="4" t="s">
        <v>23</v>
      </c>
      <c r="C39" s="3" t="n">
        <v>45986</v>
      </c>
      <c r="D39" s="4" t="s">
        <v>24</v>
      </c>
      <c r="E39" s="4" t="s">
        <v>22</v>
      </c>
      <c r="F39" s="5" t="n">
        <v>13200</v>
      </c>
      <c r="G39" s="4" t="n">
        <v>26099</v>
      </c>
      <c r="H39" s="4" t="n">
        <v>25889.9</v>
      </c>
      <c r="I39" s="6" t="n">
        <f aca="false">IF(D39="Short",G39-H39,H39-G39)</f>
        <v>209.099999999999</v>
      </c>
      <c r="J39" s="6" t="n">
        <f aca="false">I39*F39</f>
        <v>2760119.99999998</v>
      </c>
      <c r="K39" s="6" t="n">
        <f aca="false">IF(D39="Short",F39*G39,F39*H39)</f>
        <v>344506800</v>
      </c>
      <c r="L39" s="6" t="n">
        <f aca="false">IF(D39="Short",F39*H39,G39*F39)</f>
        <v>341746680</v>
      </c>
      <c r="M39" s="6" t="n">
        <f aca="false">K39+L39</f>
        <v>686253480</v>
      </c>
      <c r="N39" s="6" t="n">
        <f aca="false">K39*0.02%</f>
        <v>68901.36</v>
      </c>
      <c r="O39" s="6" t="n">
        <f aca="false">M39*0.00183%</f>
        <v>12558.438684</v>
      </c>
      <c r="P39" s="6" t="n">
        <f aca="false">M39*0.0001%</f>
        <v>686.25348</v>
      </c>
      <c r="Q39" s="6" t="n">
        <f aca="false">L39*0.002%</f>
        <v>6834.9336</v>
      </c>
      <c r="R39" s="6" t="n">
        <f aca="false">(O39+P39)*18%</f>
        <v>2384.04458952</v>
      </c>
      <c r="S39" s="6" t="n">
        <f aca="false">SUM(N39:R39)</f>
        <v>91365.03035352</v>
      </c>
      <c r="T39" s="6" t="n">
        <f aca="false">J39-S39</f>
        <v>2668754.96964646</v>
      </c>
      <c r="V39" s="8"/>
    </row>
    <row r="40" customFormat="false" ht="15" hidden="false" customHeight="false" outlineLevel="0" collapsed="false">
      <c r="A40" s="3" t="n">
        <v>45986</v>
      </c>
      <c r="B40" s="4" t="s">
        <v>20</v>
      </c>
      <c r="C40" s="3" t="n">
        <v>46021</v>
      </c>
      <c r="D40" s="4" t="s">
        <v>21</v>
      </c>
      <c r="E40" s="4" t="s">
        <v>22</v>
      </c>
      <c r="F40" s="5" t="n">
        <v>27300</v>
      </c>
      <c r="G40" s="4" t="n">
        <v>13901.8</v>
      </c>
      <c r="H40" s="4" t="n">
        <v>13600</v>
      </c>
      <c r="I40" s="6" t="n">
        <f aca="false">IF(D40="Short",G40-H40,H40-G40)</f>
        <v>-301.799999999999</v>
      </c>
      <c r="J40" s="6" t="n">
        <f aca="false">I40*F40</f>
        <v>-8239139.99999998</v>
      </c>
      <c r="K40" s="6" t="n">
        <f aca="false">IF(D40="Short",F40*G40,F40*H40)</f>
        <v>371280000</v>
      </c>
      <c r="L40" s="6" t="n">
        <f aca="false">IF(D40="Short",F40*H40,G40*F40)</f>
        <v>379519140</v>
      </c>
      <c r="M40" s="6" t="n">
        <f aca="false">K40+L40</f>
        <v>750799140</v>
      </c>
      <c r="N40" s="6" t="n">
        <f aca="false">K40*0.02%</f>
        <v>74256</v>
      </c>
      <c r="O40" s="6" t="n">
        <f aca="false">M40*0.00183%</f>
        <v>13739.624262</v>
      </c>
      <c r="P40" s="6" t="n">
        <f aca="false">M40*0.0001%</f>
        <v>750.79914</v>
      </c>
      <c r="Q40" s="6" t="n">
        <f aca="false">L40*0.002%</f>
        <v>7590.3828</v>
      </c>
      <c r="R40" s="6" t="n">
        <f aca="false">(O40+P40)*18%</f>
        <v>2608.27621236</v>
      </c>
      <c r="S40" s="6" t="n">
        <f aca="false">SUM(N40:R40)</f>
        <v>98945.08241436</v>
      </c>
      <c r="T40" s="6" t="n">
        <f aca="false">J40-S40</f>
        <v>-8338085.08241434</v>
      </c>
      <c r="V40" s="8"/>
    </row>
    <row r="41" customFormat="false" ht="15" hidden="false" customHeight="false" outlineLevel="0" collapsed="false">
      <c r="A41" s="3" t="n">
        <v>45986</v>
      </c>
      <c r="B41" s="4" t="s">
        <v>23</v>
      </c>
      <c r="C41" s="3" t="n">
        <v>46021</v>
      </c>
      <c r="D41" s="4" t="s">
        <v>24</v>
      </c>
      <c r="E41" s="4" t="s">
        <v>22</v>
      </c>
      <c r="F41" s="5" t="n">
        <v>13200</v>
      </c>
      <c r="G41" s="4" t="n">
        <v>26059.9</v>
      </c>
      <c r="H41" s="4" t="n">
        <v>25936.7</v>
      </c>
      <c r="I41" s="6" t="n">
        <f aca="false">IF(D41="Short",G41-H41,H41-G41)</f>
        <v>123.200000000001</v>
      </c>
      <c r="J41" s="6" t="n">
        <f aca="false">I41*F41</f>
        <v>1626240.00000001</v>
      </c>
      <c r="K41" s="6" t="n">
        <f aca="false">IF(D41="Short",F41*G41,F41*H41)</f>
        <v>343990680</v>
      </c>
      <c r="L41" s="6" t="n">
        <f aca="false">IF(D41="Short",F41*H41,G41*F41)</f>
        <v>342364440</v>
      </c>
      <c r="M41" s="6" t="n">
        <f aca="false">K41+L41</f>
        <v>686355120</v>
      </c>
      <c r="N41" s="6" t="n">
        <f aca="false">K41*0.02%</f>
        <v>68798.136</v>
      </c>
      <c r="O41" s="6" t="n">
        <f aca="false">M41*0.00183%</f>
        <v>12560.298696</v>
      </c>
      <c r="P41" s="6" t="n">
        <f aca="false">M41*0.0001%</f>
        <v>686.35512</v>
      </c>
      <c r="Q41" s="6" t="n">
        <f aca="false">L41*0.002%</f>
        <v>6847.2888</v>
      </c>
      <c r="R41" s="6" t="n">
        <f aca="false">(O41+P41)*18%</f>
        <v>2384.39768688</v>
      </c>
      <c r="S41" s="6" t="n">
        <f aca="false">SUM(N41:R41)</f>
        <v>91276.47630288</v>
      </c>
      <c r="T41" s="6" t="n">
        <f aca="false">J41-S41</f>
        <v>1534963.52369713</v>
      </c>
      <c r="V41" s="8"/>
    </row>
    <row r="42" customFormat="false" ht="15" hidden="false" customHeight="false" outlineLevel="0" collapsed="false">
      <c r="A42" s="3" t="n">
        <v>46021</v>
      </c>
      <c r="B42" s="4" t="s">
        <v>20</v>
      </c>
      <c r="C42" s="3" t="n">
        <v>46049</v>
      </c>
      <c r="D42" s="4" t="s">
        <v>21</v>
      </c>
      <c r="E42" s="4" t="s">
        <v>22</v>
      </c>
      <c r="F42" s="5" t="n">
        <v>27120</v>
      </c>
      <c r="G42" s="4" t="n">
        <v>13667.55</v>
      </c>
      <c r="H42" s="4" t="n">
        <v>13120.95</v>
      </c>
      <c r="I42" s="6" t="n">
        <f aca="false">IF(D42="Short",G42-H42,H42-G42)</f>
        <v>-546.599999999999</v>
      </c>
      <c r="J42" s="6" t="n">
        <f aca="false">I42*F42</f>
        <v>-14823792</v>
      </c>
      <c r="K42" s="6" t="n">
        <f aca="false">IF(D42="Short",F42*G42,F42*H42)</f>
        <v>355840164</v>
      </c>
      <c r="L42" s="6" t="n">
        <f aca="false">IF(D42="Short",F42*H42,G42*F42)</f>
        <v>370663956</v>
      </c>
      <c r="M42" s="6" t="n">
        <f aca="false">K42+L42</f>
        <v>726504120</v>
      </c>
      <c r="N42" s="6" t="n">
        <f aca="false">K42*0.02%</f>
        <v>71168.0328</v>
      </c>
      <c r="O42" s="6" t="n">
        <f aca="false">M42*0.00183%</f>
        <v>13295.025396</v>
      </c>
      <c r="P42" s="6" t="n">
        <f aca="false">M42*0.0001%</f>
        <v>726.50412</v>
      </c>
      <c r="Q42" s="6" t="n">
        <f aca="false">L42*0.002%</f>
        <v>7413.27912</v>
      </c>
      <c r="R42" s="6" t="n">
        <f aca="false">(O42+P42)*18%</f>
        <v>2523.87531288</v>
      </c>
      <c r="S42" s="6" t="n">
        <f aca="false">SUM(N42:R42)</f>
        <v>95126.71674888</v>
      </c>
      <c r="T42" s="6" t="n">
        <f aca="false">J42-S42</f>
        <v>-14918918.7167488</v>
      </c>
      <c r="V42" s="8"/>
    </row>
    <row r="43" customFormat="false" ht="15" hidden="false" customHeight="false" outlineLevel="0" collapsed="false">
      <c r="A43" s="3" t="n">
        <v>46021</v>
      </c>
      <c r="B43" s="4" t="s">
        <v>23</v>
      </c>
      <c r="C43" s="3" t="n">
        <v>46049</v>
      </c>
      <c r="D43" s="4" t="s">
        <v>24</v>
      </c>
      <c r="E43" s="4" t="s">
        <v>22</v>
      </c>
      <c r="F43" s="5" t="n">
        <v>13130</v>
      </c>
      <c r="G43" s="4" t="n">
        <v>26117.5</v>
      </c>
      <c r="H43" s="4" t="n">
        <v>25174</v>
      </c>
      <c r="I43" s="6" t="n">
        <f aca="false">IF(D43="Short",G43-H43,H43-G43)</f>
        <v>943.5</v>
      </c>
      <c r="J43" s="6" t="n">
        <f aca="false">I43*F43</f>
        <v>12388155</v>
      </c>
      <c r="K43" s="6" t="n">
        <f aca="false">IF(D43="Short",F43*G43,F43*H43)</f>
        <v>342922775</v>
      </c>
      <c r="L43" s="6" t="n">
        <f aca="false">IF(D43="Short",F43*H43,G43*F43)</f>
        <v>330534620</v>
      </c>
      <c r="M43" s="6" t="n">
        <f aca="false">K43+L43</f>
        <v>673457395</v>
      </c>
      <c r="N43" s="6" t="n">
        <f aca="false">K43*0.02%</f>
        <v>68584.555</v>
      </c>
      <c r="O43" s="6" t="n">
        <f aca="false">M43*0.00183%</f>
        <v>12324.2703285</v>
      </c>
      <c r="P43" s="6" t="n">
        <f aca="false">M43*0.0001%</f>
        <v>673.457395</v>
      </c>
      <c r="Q43" s="6" t="n">
        <f aca="false">L43*0.002%</f>
        <v>6610.6924</v>
      </c>
      <c r="R43" s="6" t="n">
        <f aca="false">(O43+P43)*18%</f>
        <v>2339.59099023</v>
      </c>
      <c r="S43" s="6" t="n">
        <f aca="false">SUM(N43:R43)</f>
        <v>90532.56611373</v>
      </c>
      <c r="T43" s="6" t="n">
        <f aca="false">J43-S43</f>
        <v>12297622.4338863</v>
      </c>
      <c r="V43" s="8"/>
    </row>
    <row r="44" customFormat="false" ht="15" hidden="false" customHeight="false" outlineLevel="0" collapsed="false">
      <c r="A44" s="3" t="n">
        <v>46049</v>
      </c>
      <c r="B44" s="4" t="s">
        <v>20</v>
      </c>
      <c r="C44" s="3" t="n">
        <v>46077</v>
      </c>
      <c r="D44" s="4" t="s">
        <v>21</v>
      </c>
      <c r="E44" s="4" t="s">
        <v>22</v>
      </c>
      <c r="F44" s="5" t="n">
        <v>27120</v>
      </c>
      <c r="G44" s="4" t="n">
        <v>13191.85</v>
      </c>
      <c r="H44" s="4" t="n">
        <v>13441.4</v>
      </c>
      <c r="I44" s="6" t="n">
        <f aca="false">IF(D44="Short",G44-H44,H44-G44)</f>
        <v>249.549999999999</v>
      </c>
      <c r="J44" s="6" t="n">
        <f aca="false">I44*F44</f>
        <v>6767795.99999998</v>
      </c>
      <c r="K44" s="6" t="n">
        <f aca="false">IF(D44="Short",F44*G44,F44*H44)</f>
        <v>364530768</v>
      </c>
      <c r="L44" s="6" t="n">
        <f aca="false">IF(D44="Short",F44*H44,G44*F44)</f>
        <v>357762972</v>
      </c>
      <c r="M44" s="6" t="n">
        <f aca="false">K44+L44</f>
        <v>722293740</v>
      </c>
      <c r="N44" s="6" t="n">
        <f aca="false">K44*0.02%</f>
        <v>72906.1536</v>
      </c>
      <c r="O44" s="6" t="n">
        <f aca="false">M44*0.00183%</f>
        <v>13217.975442</v>
      </c>
      <c r="P44" s="6" t="n">
        <f aca="false">M44*0.0001%</f>
        <v>722.29374</v>
      </c>
      <c r="Q44" s="6" t="n">
        <f aca="false">L44*0.002%</f>
        <v>7155.25944</v>
      </c>
      <c r="R44" s="6" t="n">
        <f aca="false">(O44+P44)*18%</f>
        <v>2509.24845276</v>
      </c>
      <c r="S44" s="6" t="n">
        <f aca="false">SUM(N44:R44)</f>
        <v>96510.93067476</v>
      </c>
      <c r="T44" s="6" t="n">
        <f aca="false">J44-S44</f>
        <v>6671285.06932522</v>
      </c>
      <c r="V44" s="8"/>
    </row>
    <row r="45" customFormat="false" ht="15" hidden="false" customHeight="false" outlineLevel="0" collapsed="false">
      <c r="A45" s="3" t="n">
        <v>46049</v>
      </c>
      <c r="B45" s="4" t="s">
        <v>23</v>
      </c>
      <c r="C45" s="3" t="n">
        <v>46077</v>
      </c>
      <c r="D45" s="4" t="s">
        <v>24</v>
      </c>
      <c r="E45" s="4" t="s">
        <v>22</v>
      </c>
      <c r="F45" s="5" t="n">
        <v>13130</v>
      </c>
      <c r="G45" s="4" t="n">
        <v>25375.8</v>
      </c>
      <c r="H45" s="4" t="n">
        <v>25417.5</v>
      </c>
      <c r="I45" s="6" t="n">
        <f aca="false">IF(D45="Short",G45-H45,H45-G45)</f>
        <v>-41.7000000000007</v>
      </c>
      <c r="J45" s="6" t="n">
        <f aca="false">I45*F45</f>
        <v>-547521.00000001</v>
      </c>
      <c r="K45" s="6" t="n">
        <f aca="false">IF(D45="Short",F45*G45,F45*H45)</f>
        <v>333184254</v>
      </c>
      <c r="L45" s="6" t="n">
        <f aca="false">IF(D45="Short",F45*H45,G45*F45)</f>
        <v>333731775</v>
      </c>
      <c r="M45" s="6" t="n">
        <f aca="false">K45+L45</f>
        <v>666916029</v>
      </c>
      <c r="N45" s="6" t="n">
        <f aca="false">K45*0.02%</f>
        <v>66636.8508</v>
      </c>
      <c r="O45" s="6" t="n">
        <f aca="false">M45*0.00183%</f>
        <v>12204.5633307</v>
      </c>
      <c r="P45" s="6" t="n">
        <f aca="false">M45*0.0001%</f>
        <v>666.916029</v>
      </c>
      <c r="Q45" s="6" t="n">
        <f aca="false">L45*0.002%</f>
        <v>6674.6355</v>
      </c>
      <c r="R45" s="6" t="n">
        <f aca="false">(O45+P45)*18%</f>
        <v>2316.866284746</v>
      </c>
      <c r="S45" s="6" t="n">
        <f aca="false">SUM(N45:R45)</f>
        <v>88499.831944446</v>
      </c>
      <c r="T45" s="6" t="n">
        <f aca="false">J45-S45</f>
        <v>-636020.831944456</v>
      </c>
      <c r="V45" s="8"/>
    </row>
    <row r="46" customFormat="false" ht="15" hidden="false" customHeight="false" outlineLevel="0" collapsed="false">
      <c r="A46" s="3" t="n">
        <v>46077</v>
      </c>
      <c r="B46" s="4" t="s">
        <v>20</v>
      </c>
      <c r="C46" s="3" t="n">
        <v>46111</v>
      </c>
      <c r="D46" s="4" t="s">
        <v>21</v>
      </c>
      <c r="E46" s="4" t="s">
        <v>22</v>
      </c>
      <c r="F46" s="5" t="n">
        <v>27120</v>
      </c>
      <c r="G46" s="4" t="n">
        <v>13490.5</v>
      </c>
      <c r="H46" s="4" t="n">
        <v>12164.3</v>
      </c>
      <c r="I46" s="6" t="n">
        <f aca="false">IF(D46="Short",G46-H46,H46-G46)</f>
        <v>-1326.2</v>
      </c>
      <c r="J46" s="6" t="n">
        <f aca="false">I46*F46</f>
        <v>-35966544</v>
      </c>
      <c r="K46" s="6" t="n">
        <f aca="false">IF(D46="Short",F46*G46,F46*H46)</f>
        <v>329895816</v>
      </c>
      <c r="L46" s="6" t="n">
        <f aca="false">IF(D46="Short",F46*H46,G46*F46)</f>
        <v>365862360</v>
      </c>
      <c r="M46" s="6" t="n">
        <f aca="false">K46+L46</f>
        <v>695758176</v>
      </c>
      <c r="N46" s="6" t="n">
        <f aca="false">K46*0.02%</f>
        <v>65979.1632</v>
      </c>
      <c r="O46" s="6" t="n">
        <f aca="false">M46*0.00183%</f>
        <v>12732.3746208</v>
      </c>
      <c r="P46" s="6" t="n">
        <f aca="false">M46*0.0001%</f>
        <v>695.758176</v>
      </c>
      <c r="Q46" s="6" t="n">
        <f aca="false">L46*0.002%</f>
        <v>7317.2472</v>
      </c>
      <c r="R46" s="6" t="n">
        <f aca="false">(O46+P46)*18%</f>
        <v>2417.063903424</v>
      </c>
      <c r="S46" s="6" t="n">
        <f aca="false">SUM(N46:R46)</f>
        <v>89141.607100224</v>
      </c>
      <c r="T46" s="6" t="n">
        <f aca="false">J46-S46</f>
        <v>-36055685.6071002</v>
      </c>
      <c r="V46" s="8"/>
    </row>
    <row r="47" customFormat="false" ht="15" hidden="false" customHeight="false" outlineLevel="0" collapsed="false">
      <c r="A47" s="3" t="n">
        <v>46077</v>
      </c>
      <c r="B47" s="4" t="s">
        <v>23</v>
      </c>
      <c r="C47" s="3" t="n">
        <v>46111</v>
      </c>
      <c r="D47" s="4" t="s">
        <v>24</v>
      </c>
      <c r="E47" s="4" t="s">
        <v>22</v>
      </c>
      <c r="F47" s="5" t="n">
        <v>13130</v>
      </c>
      <c r="G47" s="4" t="n">
        <v>25588.2</v>
      </c>
      <c r="H47" s="4" t="n">
        <v>22324</v>
      </c>
      <c r="I47" s="6" t="n">
        <f aca="false">IF(D47="Short",G47-H47,H47-G47)</f>
        <v>3264.2</v>
      </c>
      <c r="J47" s="6" t="n">
        <f aca="false">I47*F47</f>
        <v>42858946</v>
      </c>
      <c r="K47" s="6" t="n">
        <f aca="false">IF(D47="Short",F47*G47,F47*H47)</f>
        <v>335973066</v>
      </c>
      <c r="L47" s="6" t="n">
        <f aca="false">IF(D47="Short",F47*H47,G47*F47)</f>
        <v>293114120</v>
      </c>
      <c r="M47" s="6" t="n">
        <f aca="false">K47+L47</f>
        <v>629087186</v>
      </c>
      <c r="N47" s="6" t="n">
        <f aca="false">K47*0.02%</f>
        <v>67194.6132</v>
      </c>
      <c r="O47" s="6" t="n">
        <f aca="false">M47*0.00183%</f>
        <v>11512.2955038</v>
      </c>
      <c r="P47" s="6" t="n">
        <f aca="false">M47*0.0001%</f>
        <v>629.087186</v>
      </c>
      <c r="Q47" s="6" t="n">
        <f aca="false">L47*0.002%</f>
        <v>5862.2824</v>
      </c>
      <c r="R47" s="6" t="n">
        <f aca="false">(O47+P47)*18%</f>
        <v>2185.448884164</v>
      </c>
      <c r="S47" s="6" t="n">
        <f aca="false">SUM(N47:R47)</f>
        <v>87383.727173964</v>
      </c>
      <c r="T47" s="6" t="n">
        <f aca="false">J47-S47</f>
        <v>42771562.2728261</v>
      </c>
      <c r="V47" s="8"/>
    </row>
    <row r="48" customFormat="false" ht="15" hidden="false" customHeight="false" outlineLevel="0" collapsed="false">
      <c r="A48" s="3" t="n">
        <v>46111</v>
      </c>
      <c r="B48" s="4" t="s">
        <v>20</v>
      </c>
      <c r="C48" s="3" t="n">
        <v>46140</v>
      </c>
      <c r="D48" s="4" t="s">
        <v>21</v>
      </c>
      <c r="E48" s="4" t="s">
        <v>22</v>
      </c>
      <c r="F48" s="5" t="n">
        <v>27120</v>
      </c>
      <c r="G48" s="4" t="n">
        <v>12160.65</v>
      </c>
      <c r="H48" s="4" t="n">
        <v>13970</v>
      </c>
      <c r="I48" s="6" t="n">
        <f aca="false">IF(D48="Short",G48-H48,H48-G48)</f>
        <v>1809.35</v>
      </c>
      <c r="J48" s="6" t="n">
        <f aca="false">I48*F48</f>
        <v>49069572</v>
      </c>
      <c r="K48" s="6" t="n">
        <f aca="false">IF(D48="Short",F48*G48,F48*H48)</f>
        <v>378866400</v>
      </c>
      <c r="L48" s="6" t="n">
        <f aca="false">IF(D48="Short",F48*H48,G48*F48)</f>
        <v>329796828</v>
      </c>
      <c r="M48" s="6" t="n">
        <f aca="false">K48+L48</f>
        <v>708663228</v>
      </c>
      <c r="N48" s="6" t="n">
        <f aca="false">K48*0.02%</f>
        <v>75773.28</v>
      </c>
      <c r="O48" s="6" t="n">
        <f aca="false">M48*0.00183%</f>
        <v>12968.5370724</v>
      </c>
      <c r="P48" s="6" t="n">
        <f aca="false">M48*0.0001%</f>
        <v>708.663228</v>
      </c>
      <c r="Q48" s="6" t="n">
        <f aca="false">L48*0.002%</f>
        <v>6595.93656</v>
      </c>
      <c r="R48" s="6" t="n">
        <f aca="false">(O48+P48)*18%</f>
        <v>2461.896054072</v>
      </c>
      <c r="S48" s="6" t="n">
        <f aca="false">SUM(N48:R48)</f>
        <v>98508.312914472</v>
      </c>
      <c r="T48" s="6" t="n">
        <f aca="false">J48-S48</f>
        <v>48971063.6870855</v>
      </c>
      <c r="V48" s="8"/>
    </row>
    <row r="49" customFormat="false" ht="15" hidden="false" customHeight="false" outlineLevel="0" collapsed="false">
      <c r="A49" s="3" t="n">
        <v>46111</v>
      </c>
      <c r="B49" s="4" t="s">
        <v>23</v>
      </c>
      <c r="C49" s="3" t="n">
        <v>46140</v>
      </c>
      <c r="D49" s="4" t="s">
        <v>24</v>
      </c>
      <c r="E49" s="4" t="s">
        <v>22</v>
      </c>
      <c r="F49" s="5" t="n">
        <v>13130</v>
      </c>
      <c r="G49" s="4" t="n">
        <v>22419.4</v>
      </c>
      <c r="H49" s="4" t="n">
        <v>23977.1</v>
      </c>
      <c r="I49" s="6" t="n">
        <f aca="false">IF(D49="Short",G49-H49,H49-G49)</f>
        <v>-1557.7</v>
      </c>
      <c r="J49" s="6" t="n">
        <f aca="false">I49*F49</f>
        <v>-20452601</v>
      </c>
      <c r="K49" s="6" t="n">
        <f aca="false">IF(D49="Short",F49*G49,F49*H49)</f>
        <v>294366722</v>
      </c>
      <c r="L49" s="6" t="n">
        <f aca="false">IF(D49="Short",F49*H49,G49*F49)</f>
        <v>314819323</v>
      </c>
      <c r="M49" s="6" t="n">
        <f aca="false">K49+L49</f>
        <v>609186045</v>
      </c>
      <c r="N49" s="6" t="n">
        <f aca="false">K49*0.02%</f>
        <v>58873.3444</v>
      </c>
      <c r="O49" s="6" t="n">
        <f aca="false">M49*0.00183%</f>
        <v>11148.1046235</v>
      </c>
      <c r="P49" s="6" t="n">
        <f aca="false">M49*0.0001%</f>
        <v>609.186045</v>
      </c>
      <c r="Q49" s="6" t="n">
        <f aca="false">L49*0.002%</f>
        <v>6296.38646</v>
      </c>
      <c r="R49" s="6" t="n">
        <f aca="false">(O49+P49)*18%</f>
        <v>2116.31232033</v>
      </c>
      <c r="S49" s="6" t="n">
        <f aca="false">SUM(N49:R49)</f>
        <v>79043.33384883</v>
      </c>
      <c r="T49" s="6" t="n">
        <f aca="false">J49-S49</f>
        <v>-20531644.3338488</v>
      </c>
      <c r="V49" s="8"/>
    </row>
    <row r="50" customFormat="false" ht="15" hidden="false" customHeight="false" outlineLevel="0" collapsed="false">
      <c r="A50" s="3" t="n">
        <v>46140</v>
      </c>
      <c r="B50" s="4" t="s">
        <v>20</v>
      </c>
      <c r="C50" s="3" t="n">
        <v>46168</v>
      </c>
      <c r="D50" s="4" t="s">
        <v>21</v>
      </c>
      <c r="E50" s="4" t="s">
        <v>22</v>
      </c>
      <c r="F50" s="5" t="n">
        <v>27120</v>
      </c>
      <c r="G50" s="4" t="n">
        <v>14010</v>
      </c>
      <c r="H50" s="4" t="n">
        <v>14676.6</v>
      </c>
      <c r="I50" s="6" t="n">
        <f aca="false">IF(D50="Short",G50-H50,H50-G50)</f>
        <v>666.6</v>
      </c>
      <c r="J50" s="6" t="n">
        <f aca="false">I50*F50</f>
        <v>18078192</v>
      </c>
      <c r="K50" s="6" t="n">
        <f aca="false">IF(D50="Short",F50*G50,F50*H50)</f>
        <v>398029392</v>
      </c>
      <c r="L50" s="6" t="n">
        <f aca="false">IF(D50="Short",F50*H50,G50*F50)</f>
        <v>379951200</v>
      </c>
      <c r="M50" s="6" t="n">
        <f aca="false">K50+L50</f>
        <v>777980592</v>
      </c>
      <c r="N50" s="6" t="n">
        <f aca="false">K50*0.02%</f>
        <v>79605.8784</v>
      </c>
      <c r="O50" s="6" t="n">
        <f aca="false">M50*0.00183%</f>
        <v>14237.0448336</v>
      </c>
      <c r="P50" s="6" t="n">
        <f aca="false">M50*0.0001%</f>
        <v>777.980592</v>
      </c>
      <c r="Q50" s="6" t="n">
        <f aca="false">L50*0.002%</f>
        <v>7599.024</v>
      </c>
      <c r="R50" s="6" t="n">
        <f aca="false">(O50+P50)*18%</f>
        <v>2702.704576608</v>
      </c>
      <c r="S50" s="6" t="n">
        <f aca="false">SUM(N50:R50)</f>
        <v>104922.632402208</v>
      </c>
      <c r="T50" s="6" t="n">
        <f aca="false">J50-S50</f>
        <v>17973269.3675978</v>
      </c>
      <c r="V50" s="8"/>
    </row>
    <row r="51" customFormat="false" ht="15" hidden="false" customHeight="false" outlineLevel="0" collapsed="false">
      <c r="A51" s="3" t="n">
        <v>46140</v>
      </c>
      <c r="B51" s="4" t="s">
        <v>23</v>
      </c>
      <c r="C51" s="3" t="n">
        <v>46168</v>
      </c>
      <c r="D51" s="4" t="s">
        <v>24</v>
      </c>
      <c r="E51" s="4" t="s">
        <v>22</v>
      </c>
      <c r="F51" s="5" t="n">
        <v>13130</v>
      </c>
      <c r="G51" s="4" t="n">
        <v>24052.8</v>
      </c>
      <c r="H51" s="4" t="n">
        <v>23915</v>
      </c>
      <c r="I51" s="6" t="n">
        <f aca="false">IF(D51="Short",G51-H51,H51-G51)</f>
        <v>137.799999999999</v>
      </c>
      <c r="J51" s="6" t="n">
        <f aca="false">I51*F51</f>
        <v>1809313.99999999</v>
      </c>
      <c r="K51" s="6" t="n">
        <f aca="false">IF(D51="Short",F51*G51,F51*H51)</f>
        <v>315813264</v>
      </c>
      <c r="L51" s="6" t="n">
        <f aca="false">IF(D51="Short",F51*H51,G51*F51)</f>
        <v>314003950</v>
      </c>
      <c r="M51" s="6" t="n">
        <f aca="false">K51+L51</f>
        <v>629817214</v>
      </c>
      <c r="N51" s="6" t="n">
        <f aca="false">K51*0.02%</f>
        <v>63162.6528</v>
      </c>
      <c r="O51" s="6" t="n">
        <f aca="false">M51*0.00183%</f>
        <v>11525.6550162</v>
      </c>
      <c r="P51" s="6" t="n">
        <f aca="false">M51*0.0001%</f>
        <v>629.817214</v>
      </c>
      <c r="Q51" s="6" t="n">
        <f aca="false">L51*0.002%</f>
        <v>6280.079</v>
      </c>
      <c r="R51" s="6" t="n">
        <f aca="false">(O51+P51)*18%</f>
        <v>2187.985001436</v>
      </c>
      <c r="S51" s="6" t="n">
        <f aca="false">SUM(N51:R51)</f>
        <v>83786.189031636</v>
      </c>
      <c r="T51" s="6" t="n">
        <f aca="false">J51-S51</f>
        <v>1725527.81096835</v>
      </c>
      <c r="V51" s="8"/>
    </row>
    <row r="52" customFormat="false" ht="15" hidden="false" customHeight="false" outlineLevel="0" collapsed="false">
      <c r="A52" s="3" t="n">
        <v>46168</v>
      </c>
      <c r="B52" s="4" t="s">
        <v>20</v>
      </c>
      <c r="C52" s="3" t="n">
        <v>46203</v>
      </c>
      <c r="D52" s="4" t="s">
        <v>21</v>
      </c>
      <c r="E52" s="4" t="s">
        <v>22</v>
      </c>
      <c r="F52" s="5" t="n">
        <v>27120</v>
      </c>
      <c r="G52" s="4" t="n">
        <v>14777</v>
      </c>
      <c r="H52" s="4" t="n">
        <v>14546</v>
      </c>
      <c r="I52" s="6" t="n">
        <f aca="false">IF(D52="Short",G52-H52,H52-G52)</f>
        <v>-231</v>
      </c>
      <c r="J52" s="6" t="n">
        <f aca="false">I52*F52</f>
        <v>-6264720</v>
      </c>
      <c r="K52" s="6" t="n">
        <f aca="false">IF(D52="Short",F52*G52,F52*H52)</f>
        <v>394487520</v>
      </c>
      <c r="L52" s="6" t="n">
        <f aca="false">IF(D52="Short",F52*H52,G52*F52)</f>
        <v>400752240</v>
      </c>
      <c r="M52" s="6" t="n">
        <f aca="false">K52+L52</f>
        <v>795239760</v>
      </c>
      <c r="N52" s="6" t="n">
        <f aca="false">K52*0.02%</f>
        <v>78897.504</v>
      </c>
      <c r="O52" s="6" t="n">
        <f aca="false">M52*0.00183%</f>
        <v>14552.887608</v>
      </c>
      <c r="P52" s="6" t="n">
        <f aca="false">M52*0.0001%</f>
        <v>795.23976</v>
      </c>
      <c r="Q52" s="6" t="n">
        <f aca="false">L52*0.002%</f>
        <v>8015.0448</v>
      </c>
      <c r="R52" s="6" t="n">
        <f aca="false">(O52+P52)*18%</f>
        <v>2762.66292624</v>
      </c>
      <c r="S52" s="6" t="n">
        <f aca="false">SUM(N52:R52)</f>
        <v>105023.33909424</v>
      </c>
      <c r="T52" s="6" t="n">
        <f aca="false">J52-S52</f>
        <v>-6369743.33909424</v>
      </c>
      <c r="V52" s="8"/>
    </row>
    <row r="53" customFormat="false" ht="15" hidden="false" customHeight="false" outlineLevel="0" collapsed="false">
      <c r="A53" s="3" t="n">
        <v>46168</v>
      </c>
      <c r="B53" s="4" t="s">
        <v>23</v>
      </c>
      <c r="C53" s="3" t="n">
        <v>46203</v>
      </c>
      <c r="D53" s="4" t="s">
        <v>24</v>
      </c>
      <c r="E53" s="4" t="s">
        <v>22</v>
      </c>
      <c r="F53" s="5" t="n">
        <v>13130</v>
      </c>
      <c r="G53" s="4" t="n">
        <v>23978</v>
      </c>
      <c r="H53" s="4" t="n">
        <v>24051</v>
      </c>
      <c r="I53" s="6" t="n">
        <f aca="false">IF(D53="Short",G53-H53,H53-G53)</f>
        <v>-73</v>
      </c>
      <c r="J53" s="6" t="n">
        <f aca="false">I53*F53</f>
        <v>-958490</v>
      </c>
      <c r="K53" s="6" t="n">
        <f aca="false">IF(D53="Short",F53*G53,F53*H53)</f>
        <v>314831140</v>
      </c>
      <c r="L53" s="6" t="n">
        <f aca="false">IF(D53="Short",F53*H53,G53*F53)</f>
        <v>315789630</v>
      </c>
      <c r="M53" s="6" t="n">
        <f aca="false">K53+L53</f>
        <v>630620770</v>
      </c>
      <c r="N53" s="6" t="n">
        <f aca="false">K53*0.02%</f>
        <v>62966.228</v>
      </c>
      <c r="O53" s="6" t="n">
        <f aca="false">M53*0.00183%</f>
        <v>11540.360091</v>
      </c>
      <c r="P53" s="6" t="n">
        <f aca="false">M53*0.0001%</f>
        <v>630.62077</v>
      </c>
      <c r="Q53" s="6" t="n">
        <f aca="false">L53*0.002%</f>
        <v>6315.7926</v>
      </c>
      <c r="R53" s="6" t="n">
        <f aca="false">(O53+P53)*18%</f>
        <v>2190.77655498</v>
      </c>
      <c r="S53" s="6" t="n">
        <f aca="false">SUM(N53:R53)</f>
        <v>83643.77801598</v>
      </c>
      <c r="T53" s="6" t="n">
        <f aca="false">J53-S53</f>
        <v>-1042133.77801598</v>
      </c>
      <c r="V53" s="10"/>
    </row>
    <row r="54" customFormat="false" ht="15" hidden="false" customHeight="false" outlineLevel="0" collapsed="false">
      <c r="A54" s="3" t="n">
        <v>46203</v>
      </c>
      <c r="B54" s="4" t="s">
        <v>20</v>
      </c>
      <c r="C54" s="3" t="n">
        <v>46231</v>
      </c>
      <c r="D54" s="4" t="s">
        <v>21</v>
      </c>
      <c r="E54" s="4" t="s">
        <v>22</v>
      </c>
      <c r="F54" s="5" t="n">
        <v>27120</v>
      </c>
      <c r="G54" s="4" t="n">
        <v>14511.15</v>
      </c>
      <c r="H54" s="4" t="n">
        <v>14686.8</v>
      </c>
      <c r="I54" s="6" t="n">
        <f aca="false">IF(D54="Short",G54-H54,H54-G54)</f>
        <v>175.65</v>
      </c>
      <c r="J54" s="6" t="n">
        <f aca="false">I54*F54</f>
        <v>4763627.99999999</v>
      </c>
      <c r="K54" s="6" t="n">
        <f aca="false">IF(D54="Short",F54*G54,F54*H54)</f>
        <v>398306016</v>
      </c>
      <c r="L54" s="6" t="n">
        <f aca="false">IF(D54="Short",F54*H54,G54*F54)</f>
        <v>393542388</v>
      </c>
      <c r="M54" s="6" t="n">
        <f aca="false">K54+L54</f>
        <v>791848404</v>
      </c>
      <c r="N54" s="6" t="n">
        <f aca="false">K54*0.05%</f>
        <v>199153.008</v>
      </c>
      <c r="O54" s="6" t="n">
        <f aca="false">M54*0.00183%</f>
        <v>14490.8257932</v>
      </c>
      <c r="P54" s="6" t="n">
        <f aca="false">M54*0.0001%</f>
        <v>791.848404</v>
      </c>
      <c r="Q54" s="6" t="n">
        <f aca="false">L54*0.002%</f>
        <v>7870.84776</v>
      </c>
      <c r="R54" s="6" t="n">
        <f aca="false">(O54+P54)*18%</f>
        <v>2750.881355496</v>
      </c>
      <c r="S54" s="6" t="n">
        <f aca="false">SUM(N54:R54)</f>
        <v>225057.411312696</v>
      </c>
      <c r="T54" s="6" t="n">
        <f aca="false">J54-S54</f>
        <v>4538570.58868729</v>
      </c>
      <c r="U54" s="8"/>
    </row>
    <row r="55" customFormat="false" ht="15" hidden="false" customHeight="false" outlineLevel="0" collapsed="false">
      <c r="A55" s="3" t="n">
        <v>46203</v>
      </c>
      <c r="B55" s="4" t="s">
        <v>23</v>
      </c>
      <c r="C55" s="3" t="n">
        <v>46231</v>
      </c>
      <c r="D55" s="4" t="s">
        <v>24</v>
      </c>
      <c r="E55" s="4" t="s">
        <v>22</v>
      </c>
      <c r="F55" s="5" t="n">
        <v>13130</v>
      </c>
      <c r="G55" s="4" t="n">
        <v>24009.1</v>
      </c>
      <c r="H55" s="4" t="n">
        <v>23999.3</v>
      </c>
      <c r="I55" s="6" t="n">
        <f aca="false">IF(D55="Short",G55-H55,H55-G55)</f>
        <v>9.79999999999927</v>
      </c>
      <c r="J55" s="6" t="n">
        <f aca="false">I55*F55</f>
        <v>128673.99999999</v>
      </c>
      <c r="K55" s="6" t="n">
        <f aca="false">IF(D55="Short",F55*G55,F55*H55)</f>
        <v>315239483</v>
      </c>
      <c r="L55" s="6" t="n">
        <f aca="false">IF(D55="Short",F55*H55,G55*F55)</f>
        <v>315110809</v>
      </c>
      <c r="M55" s="6" t="n">
        <f aca="false">K55+L55</f>
        <v>630350292</v>
      </c>
      <c r="N55" s="6" t="n">
        <f aca="false">K55*0.05%</f>
        <v>157619.7415</v>
      </c>
      <c r="O55" s="6" t="n">
        <f aca="false">M55*0.00183%</f>
        <v>11535.4103436</v>
      </c>
      <c r="P55" s="6" t="n">
        <f aca="false">M55*0.0001%</f>
        <v>630.350292</v>
      </c>
      <c r="Q55" s="6" t="n">
        <f aca="false">L55*0.002%</f>
        <v>6302.21618</v>
      </c>
      <c r="R55" s="6" t="n">
        <f aca="false">(O55+P55)*18%</f>
        <v>2189.836914408</v>
      </c>
      <c r="S55" s="6" t="n">
        <f aca="false">SUM(N55:R55)</f>
        <v>178277.555230008</v>
      </c>
      <c r="T55" s="6" t="n">
        <f aca="false">J55-S55</f>
        <v>-49603.5552300175</v>
      </c>
      <c r="U55" s="8"/>
    </row>
    <row r="56" customFormat="false" ht="13.8" hidden="false" customHeight="false" outlineLevel="0" collapsed="false">
      <c r="A56" s="11" t="n">
        <v>46231</v>
      </c>
      <c r="B56" s="12" t="s">
        <v>20</v>
      </c>
      <c r="C56" s="11" t="n">
        <v>46259</v>
      </c>
      <c r="D56" s="12" t="s">
        <v>21</v>
      </c>
      <c r="E56" s="12" t="s">
        <v>22</v>
      </c>
      <c r="F56" s="12" t="n">
        <v>27240</v>
      </c>
      <c r="G56" s="12" t="n">
        <v>14612.4</v>
      </c>
      <c r="H56" s="12"/>
      <c r="I56" s="6" t="n">
        <f aca="false">IF(D56="Short",G56-H56,H56-G56)</f>
        <v>-14612.4</v>
      </c>
      <c r="J56" s="6" t="n">
        <f aca="false">I56*F56</f>
        <v>-398041776</v>
      </c>
      <c r="K56" s="6" t="n">
        <f aca="false">IF(D56="Short",F56*G56,F56*H56)</f>
        <v>0</v>
      </c>
      <c r="L56" s="6" t="n">
        <f aca="false">IF(D56="Short",F56*H56,G56*F56)</f>
        <v>398041776</v>
      </c>
      <c r="M56" s="6" t="n">
        <f aca="false">K56+L56</f>
        <v>398041776</v>
      </c>
      <c r="N56" s="6" t="n">
        <f aca="false">K56*0.05%</f>
        <v>0</v>
      </c>
      <c r="O56" s="6" t="n">
        <f aca="false">M56*0.00183%</f>
        <v>7284.1645008</v>
      </c>
      <c r="P56" s="6" t="n">
        <f aca="false">M56*0.0001%</f>
        <v>398.041776</v>
      </c>
      <c r="Q56" s="6" t="n">
        <f aca="false">L56*0.002%</f>
        <v>7960.83552</v>
      </c>
      <c r="R56" s="6" t="n">
        <f aca="false">(O56+P56)*18%</f>
        <v>1382.797129824</v>
      </c>
      <c r="S56" s="6" t="n">
        <f aca="false">SUM(N56:R56)</f>
        <v>17025.838926624</v>
      </c>
      <c r="T56" s="6" t="n">
        <f aca="false">J56-S56</f>
        <v>-398058801.838927</v>
      </c>
    </row>
    <row r="57" customFormat="false" ht="13.8" hidden="false" customHeight="false" outlineLevel="0" collapsed="false">
      <c r="A57" s="11" t="n">
        <v>46231</v>
      </c>
      <c r="B57" s="12" t="s">
        <v>23</v>
      </c>
      <c r="C57" s="11" t="n">
        <v>46259</v>
      </c>
      <c r="D57" s="12" t="s">
        <v>24</v>
      </c>
      <c r="E57" s="12" t="s">
        <v>22</v>
      </c>
      <c r="F57" s="12" t="n">
        <v>13200</v>
      </c>
      <c r="G57" s="12" t="n">
        <v>24311.5</v>
      </c>
      <c r="H57" s="12"/>
      <c r="I57" s="6" t="n">
        <f aca="false">IF(D57="Short",G57-H57,H57-G57)</f>
        <v>24311.5</v>
      </c>
      <c r="J57" s="6" t="n">
        <f aca="false">I57*F57</f>
        <v>320911800</v>
      </c>
      <c r="K57" s="6" t="n">
        <f aca="false">IF(D57="Short",F57*G57,F57*H57)</f>
        <v>320911800</v>
      </c>
      <c r="L57" s="6" t="n">
        <f aca="false">IF(D57="Short",F57*H57,G57*F57)</f>
        <v>0</v>
      </c>
      <c r="M57" s="6" t="n">
        <f aca="false">K57+L57</f>
        <v>320911800</v>
      </c>
      <c r="N57" s="6" t="n">
        <f aca="false">K57*0.05%</f>
        <v>160455.9</v>
      </c>
      <c r="O57" s="6" t="n">
        <f aca="false">M57*0.00183%</f>
        <v>5872.68594</v>
      </c>
      <c r="P57" s="6" t="n">
        <f aca="false">M57*0.0001%</f>
        <v>320.9118</v>
      </c>
      <c r="Q57" s="6" t="n">
        <f aca="false">L57*0.002%</f>
        <v>0</v>
      </c>
      <c r="R57" s="6" t="n">
        <f aca="false">(O57+P57)*18%</f>
        <v>1114.8475932</v>
      </c>
      <c r="S57" s="6" t="n">
        <f aca="false">SUM(N57:R57)</f>
        <v>167764.3453332</v>
      </c>
      <c r="T57" s="6" t="n">
        <f aca="false">J57-S57</f>
        <v>320744035.654667</v>
      </c>
    </row>
    <row r="60" customFormat="false" ht="15" hidden="false" customHeight="false" outlineLevel="0" collapsed="false">
      <c r="V60" s="13"/>
    </row>
    <row r="62" customFormat="false" ht="15" hidden="false" customHeight="false" outlineLevel="0" collapsed="false">
      <c r="O6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2026-07-13T10:58:47Z</dcterms:created>
  <dc:creator>AFF87</dc:creator>
  <dc:description/>
  <dc:language>en-IN</dc:language>
  <cp:lastModifiedBy/>
  <dcterms:modified xsi:type="dcterms:W3CDTF">2026-07-30T12:02:56Z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