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Z:\Dharmil Virani\algotrade\"/>
    </mc:Choice>
  </mc:AlternateContent>
  <bookViews>
    <workbookView xWindow="0" yWindow="0" windowWidth="20490" windowHeight="7650" activeTab="2"/>
  </bookViews>
  <sheets>
    <sheet name="P&amp;L" sheetId="1" r:id="rId1"/>
    <sheet name="P&amp;L 30 Cr." sheetId="2" r:id="rId2"/>
    <sheet name="P&amp;L 30 Cr" sheetId="4" r:id="rId3"/>
  </sheets>
  <definedNames>
    <definedName name="_xlnm._FilterDatabase" localSheetId="0" hidden="1">'P&amp;L'!$A$1:$AE$43</definedName>
    <definedName name="_xlnm._FilterDatabase" localSheetId="2" hidden="1">'P&amp;L 30 Cr'!$A$1:$AJ$43</definedName>
    <definedName name="_xlnm._FilterDatabase" localSheetId="1" hidden="1">'P&amp;L 30 Cr.'!$A$1:$AJ$43</definedName>
  </definedNames>
  <calcPr calcId="162913"/>
  <pivotCaches>
    <pivotCache cacheId="0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2" l="1"/>
  <c r="Q45" i="2" s="1"/>
  <c r="K45" i="2"/>
  <c r="N45" i="2" s="1"/>
  <c r="I45" i="2"/>
  <c r="J45" i="2" s="1"/>
  <c r="L44" i="2"/>
  <c r="Q44" i="2" s="1"/>
  <c r="K44" i="2"/>
  <c r="N44" i="2" s="1"/>
  <c r="I44" i="2"/>
  <c r="J44" i="2" s="1"/>
  <c r="L43" i="2"/>
  <c r="Q43" i="2" s="1"/>
  <c r="K43" i="2"/>
  <c r="N43" i="2" s="1"/>
  <c r="I43" i="2"/>
  <c r="J43" i="2" s="1"/>
  <c r="Q42" i="2"/>
  <c r="M42" i="2"/>
  <c r="P42" i="2" s="1"/>
  <c r="L42" i="2"/>
  <c r="K42" i="2"/>
  <c r="N42" i="2" s="1"/>
  <c r="I42" i="2"/>
  <c r="J42" i="2" s="1"/>
  <c r="M43" i="2" l="1"/>
  <c r="M44" i="2"/>
  <c r="M45" i="2"/>
  <c r="O42" i="2"/>
  <c r="R42" i="2" s="1"/>
  <c r="L45" i="4"/>
  <c r="Q45" i="4" s="1"/>
  <c r="K45" i="4"/>
  <c r="N45" i="4" s="1"/>
  <c r="I45" i="4"/>
  <c r="J45" i="4" s="1"/>
  <c r="L44" i="4"/>
  <c r="Q44" i="4" s="1"/>
  <c r="K44" i="4"/>
  <c r="N44" i="4" s="1"/>
  <c r="I44" i="4"/>
  <c r="J44" i="4" s="1"/>
  <c r="P44" i="2" l="1"/>
  <c r="O44" i="2"/>
  <c r="S42" i="2"/>
  <c r="T42" i="2" s="1"/>
  <c r="P45" i="2"/>
  <c r="O45" i="2"/>
  <c r="P43" i="2"/>
  <c r="O43" i="2"/>
  <c r="M44" i="4"/>
  <c r="M45" i="4"/>
  <c r="V50" i="4"/>
  <c r="L43" i="4"/>
  <c r="Q43" i="4" s="1"/>
  <c r="K43" i="4"/>
  <c r="N43" i="4" s="1"/>
  <c r="I43" i="4"/>
  <c r="J43" i="4" s="1"/>
  <c r="L42" i="4"/>
  <c r="Q42" i="4" s="1"/>
  <c r="K42" i="4"/>
  <c r="N42" i="4" s="1"/>
  <c r="I42" i="4"/>
  <c r="J42" i="4" s="1"/>
  <c r="Q41" i="4"/>
  <c r="N41" i="4"/>
  <c r="M41" i="4"/>
  <c r="L41" i="4"/>
  <c r="K41" i="4"/>
  <c r="I41" i="4"/>
  <c r="J41" i="4" s="1"/>
  <c r="Q40" i="4"/>
  <c r="N40" i="4"/>
  <c r="M40" i="4"/>
  <c r="L40" i="4"/>
  <c r="K40" i="4"/>
  <c r="I40" i="4"/>
  <c r="J40" i="4" s="1"/>
  <c r="Q39" i="4"/>
  <c r="N39" i="4"/>
  <c r="M39" i="4"/>
  <c r="L39" i="4"/>
  <c r="K39" i="4"/>
  <c r="I39" i="4"/>
  <c r="J39" i="4" s="1"/>
  <c r="Q38" i="4"/>
  <c r="N38" i="4"/>
  <c r="M38" i="4"/>
  <c r="L38" i="4"/>
  <c r="K38" i="4"/>
  <c r="I38" i="4"/>
  <c r="J38" i="4" s="1"/>
  <c r="Q37" i="4"/>
  <c r="N37" i="4"/>
  <c r="M37" i="4"/>
  <c r="L37" i="4"/>
  <c r="K37" i="4"/>
  <c r="I37" i="4"/>
  <c r="J37" i="4" s="1"/>
  <c r="Q36" i="4"/>
  <c r="N36" i="4"/>
  <c r="M36" i="4"/>
  <c r="L36" i="4"/>
  <c r="K36" i="4"/>
  <c r="I36" i="4"/>
  <c r="J36" i="4" s="1"/>
  <c r="Q35" i="4"/>
  <c r="N35" i="4"/>
  <c r="M35" i="4"/>
  <c r="L35" i="4"/>
  <c r="K35" i="4"/>
  <c r="I35" i="4"/>
  <c r="J35" i="4" s="1"/>
  <c r="Q34" i="4"/>
  <c r="N34" i="4"/>
  <c r="M34" i="4"/>
  <c r="L34" i="4"/>
  <c r="K34" i="4"/>
  <c r="I34" i="4"/>
  <c r="J34" i="4" s="1"/>
  <c r="Q33" i="4"/>
  <c r="N33" i="4"/>
  <c r="M33" i="4"/>
  <c r="L33" i="4"/>
  <c r="K33" i="4"/>
  <c r="I33" i="4"/>
  <c r="J33" i="4" s="1"/>
  <c r="Q32" i="4"/>
  <c r="N32" i="4"/>
  <c r="M32" i="4"/>
  <c r="L32" i="4"/>
  <c r="K32" i="4"/>
  <c r="I32" i="4"/>
  <c r="J32" i="4" s="1"/>
  <c r="Q31" i="4"/>
  <c r="N31" i="4"/>
  <c r="M31" i="4"/>
  <c r="L31" i="4"/>
  <c r="K31" i="4"/>
  <c r="I31" i="4"/>
  <c r="J31" i="4" s="1"/>
  <c r="Q30" i="4"/>
  <c r="N30" i="4"/>
  <c r="M30" i="4"/>
  <c r="L30" i="4"/>
  <c r="K30" i="4"/>
  <c r="I30" i="4"/>
  <c r="J30" i="4" s="1"/>
  <c r="Q29" i="4"/>
  <c r="N29" i="4"/>
  <c r="M29" i="4"/>
  <c r="L29" i="4"/>
  <c r="K29" i="4"/>
  <c r="I29" i="4"/>
  <c r="J29" i="4" s="1"/>
  <c r="Q28" i="4"/>
  <c r="N28" i="4"/>
  <c r="M28" i="4"/>
  <c r="L28" i="4"/>
  <c r="K28" i="4"/>
  <c r="I28" i="4"/>
  <c r="J28" i="4" s="1"/>
  <c r="Q27" i="4"/>
  <c r="N27" i="4"/>
  <c r="M27" i="4"/>
  <c r="L27" i="4"/>
  <c r="K27" i="4"/>
  <c r="I27" i="4"/>
  <c r="J27" i="4" s="1"/>
  <c r="Q26" i="4"/>
  <c r="N26" i="4"/>
  <c r="M26" i="4"/>
  <c r="L26" i="4"/>
  <c r="K26" i="4"/>
  <c r="I26" i="4"/>
  <c r="J26" i="4" s="1"/>
  <c r="Q25" i="4"/>
  <c r="N25" i="4"/>
  <c r="M25" i="4"/>
  <c r="L25" i="4"/>
  <c r="K25" i="4"/>
  <c r="I25" i="4"/>
  <c r="J25" i="4" s="1"/>
  <c r="Q24" i="4"/>
  <c r="N24" i="4"/>
  <c r="M24" i="4"/>
  <c r="L24" i="4"/>
  <c r="K24" i="4"/>
  <c r="I24" i="4"/>
  <c r="J24" i="4" s="1"/>
  <c r="Q23" i="4"/>
  <c r="N23" i="4"/>
  <c r="M23" i="4"/>
  <c r="L23" i="4"/>
  <c r="K23" i="4"/>
  <c r="I23" i="4"/>
  <c r="J23" i="4" s="1"/>
  <c r="Q22" i="4"/>
  <c r="N22" i="4"/>
  <c r="M22" i="4"/>
  <c r="L22" i="4"/>
  <c r="K22" i="4"/>
  <c r="I22" i="4"/>
  <c r="J22" i="4" s="1"/>
  <c r="Q21" i="4"/>
  <c r="N21" i="4"/>
  <c r="M21" i="4"/>
  <c r="L21" i="4"/>
  <c r="K21" i="4"/>
  <c r="I21" i="4"/>
  <c r="J21" i="4" s="1"/>
  <c r="Q20" i="4"/>
  <c r="N20" i="4"/>
  <c r="M20" i="4"/>
  <c r="L20" i="4"/>
  <c r="K20" i="4"/>
  <c r="I20" i="4"/>
  <c r="J20" i="4" s="1"/>
  <c r="Q19" i="4"/>
  <c r="N19" i="4"/>
  <c r="M19" i="4"/>
  <c r="L19" i="4"/>
  <c r="K19" i="4"/>
  <c r="I19" i="4"/>
  <c r="J19" i="4" s="1"/>
  <c r="Q18" i="4"/>
  <c r="N18" i="4"/>
  <c r="M18" i="4"/>
  <c r="L18" i="4"/>
  <c r="K18" i="4"/>
  <c r="I18" i="4"/>
  <c r="J18" i="4" s="1"/>
  <c r="Q17" i="4"/>
  <c r="N17" i="4"/>
  <c r="M17" i="4"/>
  <c r="L17" i="4"/>
  <c r="K17" i="4"/>
  <c r="I17" i="4"/>
  <c r="J17" i="4" s="1"/>
  <c r="Q16" i="4"/>
  <c r="N16" i="4"/>
  <c r="M16" i="4"/>
  <c r="L16" i="4"/>
  <c r="K16" i="4"/>
  <c r="I16" i="4"/>
  <c r="J16" i="4" s="1"/>
  <c r="Q15" i="4"/>
  <c r="N15" i="4"/>
  <c r="M15" i="4"/>
  <c r="L15" i="4"/>
  <c r="K15" i="4"/>
  <c r="I15" i="4"/>
  <c r="J15" i="4" s="1"/>
  <c r="Q14" i="4"/>
  <c r="N14" i="4"/>
  <c r="M14" i="4"/>
  <c r="L14" i="4"/>
  <c r="K14" i="4"/>
  <c r="I14" i="4"/>
  <c r="J14" i="4" s="1"/>
  <c r="Q13" i="4"/>
  <c r="N13" i="4"/>
  <c r="M13" i="4"/>
  <c r="L13" i="4"/>
  <c r="K13" i="4"/>
  <c r="I13" i="4"/>
  <c r="J13" i="4" s="1"/>
  <c r="Q12" i="4"/>
  <c r="N12" i="4"/>
  <c r="M12" i="4"/>
  <c r="L12" i="4"/>
  <c r="K12" i="4"/>
  <c r="I12" i="4"/>
  <c r="J12" i="4" s="1"/>
  <c r="Q11" i="4"/>
  <c r="N11" i="4"/>
  <c r="M11" i="4"/>
  <c r="L11" i="4"/>
  <c r="K11" i="4"/>
  <c r="I11" i="4"/>
  <c r="J11" i="4" s="1"/>
  <c r="Q10" i="4"/>
  <c r="N10" i="4"/>
  <c r="M10" i="4"/>
  <c r="L10" i="4"/>
  <c r="K10" i="4"/>
  <c r="I10" i="4"/>
  <c r="J10" i="4" s="1"/>
  <c r="Q9" i="4"/>
  <c r="N9" i="4"/>
  <c r="M9" i="4"/>
  <c r="L9" i="4"/>
  <c r="K9" i="4"/>
  <c r="I9" i="4"/>
  <c r="J9" i="4" s="1"/>
  <c r="Q8" i="4"/>
  <c r="N8" i="4"/>
  <c r="M8" i="4"/>
  <c r="L8" i="4"/>
  <c r="K8" i="4"/>
  <c r="I8" i="4"/>
  <c r="J8" i="4" s="1"/>
  <c r="Q7" i="4"/>
  <c r="N7" i="4"/>
  <c r="M7" i="4"/>
  <c r="L7" i="4"/>
  <c r="K7" i="4"/>
  <c r="I7" i="4"/>
  <c r="J7" i="4" s="1"/>
  <c r="Q6" i="4"/>
  <c r="N6" i="4"/>
  <c r="M6" i="4"/>
  <c r="L6" i="4"/>
  <c r="K6" i="4"/>
  <c r="I6" i="4"/>
  <c r="J6" i="4" s="1"/>
  <c r="Q5" i="4"/>
  <c r="N5" i="4"/>
  <c r="M5" i="4"/>
  <c r="L5" i="4"/>
  <c r="K5" i="4"/>
  <c r="I5" i="4"/>
  <c r="J5" i="4" s="1"/>
  <c r="Q4" i="4"/>
  <c r="N4" i="4"/>
  <c r="M4" i="4"/>
  <c r="L4" i="4"/>
  <c r="K4" i="4"/>
  <c r="I4" i="4"/>
  <c r="J4" i="4" s="1"/>
  <c r="Q3" i="4"/>
  <c r="N3" i="4"/>
  <c r="M3" i="4"/>
  <c r="L3" i="4"/>
  <c r="K3" i="4"/>
  <c r="I3" i="4"/>
  <c r="J3" i="4" s="1"/>
  <c r="Q2" i="4"/>
  <c r="N2" i="4"/>
  <c r="M2" i="4"/>
  <c r="L2" i="4"/>
  <c r="K2" i="4"/>
  <c r="J2" i="4"/>
  <c r="I2" i="4"/>
  <c r="N39" i="2"/>
  <c r="N40" i="2"/>
  <c r="N41" i="2"/>
  <c r="S40" i="2"/>
  <c r="N38" i="2"/>
  <c r="S38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9" i="2"/>
  <c r="S41" i="2"/>
  <c r="S2" i="2"/>
  <c r="N3" i="2"/>
  <c r="O3" i="2"/>
  <c r="P3" i="2"/>
  <c r="Q3" i="2"/>
  <c r="R3" i="2"/>
  <c r="N4" i="2"/>
  <c r="O4" i="2"/>
  <c r="P4" i="2"/>
  <c r="R4" i="2" s="1"/>
  <c r="Q4" i="2"/>
  <c r="N5" i="2"/>
  <c r="O5" i="2"/>
  <c r="R5" i="2" s="1"/>
  <c r="P5" i="2"/>
  <c r="Q5" i="2"/>
  <c r="N6" i="2"/>
  <c r="O6" i="2"/>
  <c r="P6" i="2"/>
  <c r="Q6" i="2"/>
  <c r="R6" i="2"/>
  <c r="N7" i="2"/>
  <c r="O7" i="2"/>
  <c r="R7" i="2" s="1"/>
  <c r="P7" i="2"/>
  <c r="Q7" i="2"/>
  <c r="N8" i="2"/>
  <c r="O8" i="2"/>
  <c r="P8" i="2"/>
  <c r="R8" i="2" s="1"/>
  <c r="Q8" i="2"/>
  <c r="N9" i="2"/>
  <c r="O9" i="2"/>
  <c r="R9" i="2" s="1"/>
  <c r="P9" i="2"/>
  <c r="Q9" i="2"/>
  <c r="N10" i="2"/>
  <c r="O10" i="2"/>
  <c r="P10" i="2"/>
  <c r="Q10" i="2"/>
  <c r="R10" i="2"/>
  <c r="N11" i="2"/>
  <c r="O11" i="2"/>
  <c r="R11" i="2" s="1"/>
  <c r="P11" i="2"/>
  <c r="Q11" i="2"/>
  <c r="N12" i="2"/>
  <c r="O12" i="2"/>
  <c r="P12" i="2"/>
  <c r="R12" i="2" s="1"/>
  <c r="Q12" i="2"/>
  <c r="N13" i="2"/>
  <c r="O13" i="2"/>
  <c r="R13" i="2" s="1"/>
  <c r="P13" i="2"/>
  <c r="Q13" i="2"/>
  <c r="N14" i="2"/>
  <c r="O14" i="2"/>
  <c r="P14" i="2"/>
  <c r="Q14" i="2"/>
  <c r="R14" i="2"/>
  <c r="N15" i="2"/>
  <c r="O15" i="2"/>
  <c r="R15" i="2" s="1"/>
  <c r="P15" i="2"/>
  <c r="Q15" i="2"/>
  <c r="N16" i="2"/>
  <c r="O16" i="2"/>
  <c r="P16" i="2"/>
  <c r="R16" i="2" s="1"/>
  <c r="Q16" i="2"/>
  <c r="N17" i="2"/>
  <c r="O17" i="2"/>
  <c r="R17" i="2" s="1"/>
  <c r="P17" i="2"/>
  <c r="Q17" i="2"/>
  <c r="N18" i="2"/>
  <c r="O18" i="2"/>
  <c r="P18" i="2"/>
  <c r="Q18" i="2"/>
  <c r="R18" i="2"/>
  <c r="N19" i="2"/>
  <c r="O19" i="2"/>
  <c r="R19" i="2" s="1"/>
  <c r="P19" i="2"/>
  <c r="Q19" i="2"/>
  <c r="N20" i="2"/>
  <c r="O20" i="2"/>
  <c r="P20" i="2"/>
  <c r="R20" i="2" s="1"/>
  <c r="Q20" i="2"/>
  <c r="N21" i="2"/>
  <c r="O21" i="2"/>
  <c r="R21" i="2" s="1"/>
  <c r="P21" i="2"/>
  <c r="Q21" i="2"/>
  <c r="N22" i="2"/>
  <c r="O22" i="2"/>
  <c r="P22" i="2"/>
  <c r="Q22" i="2"/>
  <c r="R22" i="2"/>
  <c r="N23" i="2"/>
  <c r="O23" i="2"/>
  <c r="R23" i="2" s="1"/>
  <c r="P23" i="2"/>
  <c r="Q23" i="2"/>
  <c r="N24" i="2"/>
  <c r="O24" i="2"/>
  <c r="P24" i="2"/>
  <c r="R24" i="2" s="1"/>
  <c r="Q24" i="2"/>
  <c r="N25" i="2"/>
  <c r="O25" i="2"/>
  <c r="R25" i="2" s="1"/>
  <c r="P25" i="2"/>
  <c r="Q25" i="2"/>
  <c r="N26" i="2"/>
  <c r="O26" i="2"/>
  <c r="P26" i="2"/>
  <c r="Q26" i="2"/>
  <c r="R26" i="2"/>
  <c r="N27" i="2"/>
  <c r="O27" i="2"/>
  <c r="R27" i="2" s="1"/>
  <c r="P27" i="2"/>
  <c r="Q27" i="2"/>
  <c r="N28" i="2"/>
  <c r="O28" i="2"/>
  <c r="P28" i="2"/>
  <c r="R28" i="2" s="1"/>
  <c r="Q28" i="2"/>
  <c r="N29" i="2"/>
  <c r="O29" i="2"/>
  <c r="R29" i="2" s="1"/>
  <c r="P29" i="2"/>
  <c r="Q29" i="2"/>
  <c r="N30" i="2"/>
  <c r="O30" i="2"/>
  <c r="P30" i="2"/>
  <c r="Q30" i="2"/>
  <c r="R30" i="2"/>
  <c r="N31" i="2"/>
  <c r="O31" i="2"/>
  <c r="R31" i="2" s="1"/>
  <c r="P31" i="2"/>
  <c r="Q31" i="2"/>
  <c r="N32" i="2"/>
  <c r="O32" i="2"/>
  <c r="P32" i="2"/>
  <c r="R32" i="2" s="1"/>
  <c r="Q32" i="2"/>
  <c r="N33" i="2"/>
  <c r="O33" i="2"/>
  <c r="R33" i="2" s="1"/>
  <c r="P33" i="2"/>
  <c r="Q33" i="2"/>
  <c r="N34" i="2"/>
  <c r="O34" i="2"/>
  <c r="P34" i="2"/>
  <c r="Q34" i="2"/>
  <c r="R34" i="2"/>
  <c r="N35" i="2"/>
  <c r="O35" i="2"/>
  <c r="R35" i="2" s="1"/>
  <c r="P35" i="2"/>
  <c r="Q35" i="2"/>
  <c r="N36" i="2"/>
  <c r="O36" i="2"/>
  <c r="P36" i="2"/>
  <c r="R36" i="2" s="1"/>
  <c r="Q36" i="2"/>
  <c r="N37" i="2"/>
  <c r="O37" i="2"/>
  <c r="R37" i="2" s="1"/>
  <c r="P37" i="2"/>
  <c r="Q37" i="2"/>
  <c r="O38" i="2"/>
  <c r="P38" i="2"/>
  <c r="Q38" i="2"/>
  <c r="R38" i="2"/>
  <c r="O39" i="2"/>
  <c r="R39" i="2" s="1"/>
  <c r="P39" i="2"/>
  <c r="Q39" i="2"/>
  <c r="O40" i="2"/>
  <c r="P40" i="2"/>
  <c r="R40" i="2" s="1"/>
  <c r="Q40" i="2"/>
  <c r="O41" i="2"/>
  <c r="R41" i="2" s="1"/>
  <c r="P41" i="2"/>
  <c r="Q41" i="2"/>
  <c r="R2" i="2"/>
  <c r="Q2" i="2"/>
  <c r="P2" i="2"/>
  <c r="O2" i="2"/>
  <c r="N2" i="2"/>
  <c r="I10" i="2"/>
  <c r="J10" i="2" s="1"/>
  <c r="V50" i="2"/>
  <c r="L41" i="2"/>
  <c r="K41" i="2"/>
  <c r="I41" i="2"/>
  <c r="J41" i="2" s="1"/>
  <c r="L40" i="2"/>
  <c r="K40" i="2"/>
  <c r="I40" i="2"/>
  <c r="J40" i="2" s="1"/>
  <c r="L39" i="2"/>
  <c r="K39" i="2"/>
  <c r="I39" i="2"/>
  <c r="J39" i="2" s="1"/>
  <c r="L38" i="2"/>
  <c r="K38" i="2"/>
  <c r="I38" i="2"/>
  <c r="J38" i="2" s="1"/>
  <c r="L37" i="2"/>
  <c r="K37" i="2"/>
  <c r="I37" i="2"/>
  <c r="J37" i="2" s="1"/>
  <c r="L36" i="2"/>
  <c r="K36" i="2"/>
  <c r="I36" i="2"/>
  <c r="J36" i="2" s="1"/>
  <c r="L35" i="2"/>
  <c r="K35" i="2"/>
  <c r="I35" i="2"/>
  <c r="J35" i="2" s="1"/>
  <c r="L34" i="2"/>
  <c r="K34" i="2"/>
  <c r="I34" i="2"/>
  <c r="J34" i="2" s="1"/>
  <c r="L33" i="2"/>
  <c r="K33" i="2"/>
  <c r="I33" i="2"/>
  <c r="J33" i="2" s="1"/>
  <c r="L32" i="2"/>
  <c r="K32" i="2"/>
  <c r="I32" i="2"/>
  <c r="J32" i="2" s="1"/>
  <c r="L31" i="2"/>
  <c r="K31" i="2"/>
  <c r="I31" i="2"/>
  <c r="J31" i="2" s="1"/>
  <c r="L30" i="2"/>
  <c r="K30" i="2"/>
  <c r="I30" i="2"/>
  <c r="J30" i="2" s="1"/>
  <c r="L29" i="2"/>
  <c r="K29" i="2"/>
  <c r="I29" i="2"/>
  <c r="J29" i="2" s="1"/>
  <c r="L28" i="2"/>
  <c r="K28" i="2"/>
  <c r="I28" i="2"/>
  <c r="J28" i="2" s="1"/>
  <c r="L27" i="2"/>
  <c r="K27" i="2"/>
  <c r="I27" i="2"/>
  <c r="J27" i="2" s="1"/>
  <c r="L26" i="2"/>
  <c r="K26" i="2"/>
  <c r="I26" i="2"/>
  <c r="J26" i="2" s="1"/>
  <c r="L25" i="2"/>
  <c r="K25" i="2"/>
  <c r="I25" i="2"/>
  <c r="J25" i="2" s="1"/>
  <c r="L24" i="2"/>
  <c r="K24" i="2"/>
  <c r="I24" i="2"/>
  <c r="J24" i="2" s="1"/>
  <c r="L23" i="2"/>
  <c r="K23" i="2"/>
  <c r="I23" i="2"/>
  <c r="J23" i="2" s="1"/>
  <c r="L22" i="2"/>
  <c r="K22" i="2"/>
  <c r="I22" i="2"/>
  <c r="J22" i="2" s="1"/>
  <c r="L21" i="2"/>
  <c r="K21" i="2"/>
  <c r="I21" i="2"/>
  <c r="J21" i="2" s="1"/>
  <c r="L20" i="2"/>
  <c r="K20" i="2"/>
  <c r="I20" i="2"/>
  <c r="J20" i="2" s="1"/>
  <c r="L19" i="2"/>
  <c r="K19" i="2"/>
  <c r="I19" i="2"/>
  <c r="J19" i="2" s="1"/>
  <c r="L18" i="2"/>
  <c r="K18" i="2"/>
  <c r="I18" i="2"/>
  <c r="J18" i="2" s="1"/>
  <c r="L17" i="2"/>
  <c r="K17" i="2"/>
  <c r="I17" i="2"/>
  <c r="J17" i="2" s="1"/>
  <c r="L16" i="2"/>
  <c r="K16" i="2"/>
  <c r="I16" i="2"/>
  <c r="J16" i="2" s="1"/>
  <c r="L15" i="2"/>
  <c r="K15" i="2"/>
  <c r="I15" i="2"/>
  <c r="J15" i="2" s="1"/>
  <c r="L14" i="2"/>
  <c r="K14" i="2"/>
  <c r="I14" i="2"/>
  <c r="J14" i="2" s="1"/>
  <c r="L13" i="2"/>
  <c r="K13" i="2"/>
  <c r="I13" i="2"/>
  <c r="J13" i="2" s="1"/>
  <c r="L12" i="2"/>
  <c r="K12" i="2"/>
  <c r="I12" i="2"/>
  <c r="J12" i="2" s="1"/>
  <c r="L11" i="2"/>
  <c r="K11" i="2"/>
  <c r="I11" i="2"/>
  <c r="J11" i="2" s="1"/>
  <c r="L10" i="2"/>
  <c r="K10" i="2"/>
  <c r="L9" i="2"/>
  <c r="K9" i="2"/>
  <c r="I9" i="2"/>
  <c r="J9" i="2" s="1"/>
  <c r="L8" i="2"/>
  <c r="K8" i="2"/>
  <c r="I8" i="2"/>
  <c r="J8" i="2" s="1"/>
  <c r="L7" i="2"/>
  <c r="K7" i="2"/>
  <c r="I7" i="2"/>
  <c r="J7" i="2" s="1"/>
  <c r="L6" i="2"/>
  <c r="K6" i="2"/>
  <c r="I6" i="2"/>
  <c r="J6" i="2" s="1"/>
  <c r="L5" i="2"/>
  <c r="K5" i="2"/>
  <c r="I5" i="2"/>
  <c r="J5" i="2" s="1"/>
  <c r="L4" i="2"/>
  <c r="K4" i="2"/>
  <c r="I4" i="2"/>
  <c r="J4" i="2" s="1"/>
  <c r="L3" i="2"/>
  <c r="K3" i="2"/>
  <c r="I3" i="2"/>
  <c r="J3" i="2" s="1"/>
  <c r="L2" i="2"/>
  <c r="K2" i="2"/>
  <c r="I2" i="2"/>
  <c r="J2" i="2" s="1"/>
  <c r="Q50" i="1"/>
  <c r="R43" i="2" l="1"/>
  <c r="S43" i="2"/>
  <c r="T43" i="2" s="1"/>
  <c r="R44" i="2"/>
  <c r="S44" i="2"/>
  <c r="T44" i="2" s="1"/>
  <c r="R45" i="2"/>
  <c r="S45" i="2"/>
  <c r="T45" i="2" s="1"/>
  <c r="P45" i="4"/>
  <c r="O45" i="4"/>
  <c r="P44" i="4"/>
  <c r="O44" i="4"/>
  <c r="M42" i="4"/>
  <c r="P42" i="4" s="1"/>
  <c r="M43" i="4"/>
  <c r="P43" i="4" s="1"/>
  <c r="T5" i="4"/>
  <c r="T17" i="4"/>
  <c r="O43" i="4"/>
  <c r="P2" i="4"/>
  <c r="O2" i="4"/>
  <c r="R2" i="4" s="1"/>
  <c r="P3" i="4"/>
  <c r="O3" i="4"/>
  <c r="R3" i="4" s="1"/>
  <c r="P4" i="4"/>
  <c r="O4" i="4"/>
  <c r="R4" i="4" s="1"/>
  <c r="P5" i="4"/>
  <c r="O5" i="4"/>
  <c r="R5" i="4" s="1"/>
  <c r="P6" i="4"/>
  <c r="O6" i="4"/>
  <c r="R6" i="4" s="1"/>
  <c r="P7" i="4"/>
  <c r="O7" i="4"/>
  <c r="R7" i="4" s="1"/>
  <c r="P8" i="4"/>
  <c r="O8" i="4"/>
  <c r="R8" i="4" s="1"/>
  <c r="P9" i="4"/>
  <c r="O9" i="4"/>
  <c r="R9" i="4" s="1"/>
  <c r="P10" i="4"/>
  <c r="O10" i="4"/>
  <c r="R10" i="4" s="1"/>
  <c r="P11" i="4"/>
  <c r="O11" i="4"/>
  <c r="R11" i="4" s="1"/>
  <c r="P12" i="4"/>
  <c r="O12" i="4"/>
  <c r="R12" i="4" s="1"/>
  <c r="P13" i="4"/>
  <c r="O13" i="4"/>
  <c r="R13" i="4" s="1"/>
  <c r="P14" i="4"/>
  <c r="O14" i="4"/>
  <c r="R14" i="4" s="1"/>
  <c r="P15" i="4"/>
  <c r="O15" i="4"/>
  <c r="R15" i="4" s="1"/>
  <c r="P16" i="4"/>
  <c r="O16" i="4"/>
  <c r="R16" i="4" s="1"/>
  <c r="P17" i="4"/>
  <c r="O17" i="4"/>
  <c r="R17" i="4" s="1"/>
  <c r="P18" i="4"/>
  <c r="O18" i="4"/>
  <c r="R18" i="4" s="1"/>
  <c r="P19" i="4"/>
  <c r="O19" i="4"/>
  <c r="R19" i="4" s="1"/>
  <c r="P20" i="4"/>
  <c r="O20" i="4"/>
  <c r="R20" i="4" s="1"/>
  <c r="P21" i="4"/>
  <c r="O21" i="4"/>
  <c r="R21" i="4" s="1"/>
  <c r="P22" i="4"/>
  <c r="O22" i="4"/>
  <c r="R22" i="4" s="1"/>
  <c r="P23" i="4"/>
  <c r="O23" i="4"/>
  <c r="R23" i="4" s="1"/>
  <c r="P24" i="4"/>
  <c r="O24" i="4"/>
  <c r="R24" i="4" s="1"/>
  <c r="P25" i="4"/>
  <c r="O25" i="4"/>
  <c r="R25" i="4" s="1"/>
  <c r="P26" i="4"/>
  <c r="O26" i="4"/>
  <c r="R26" i="4" s="1"/>
  <c r="P27" i="4"/>
  <c r="O27" i="4"/>
  <c r="R27" i="4" s="1"/>
  <c r="P28" i="4"/>
  <c r="O28" i="4"/>
  <c r="R28" i="4" s="1"/>
  <c r="P29" i="4"/>
  <c r="O29" i="4"/>
  <c r="R29" i="4" s="1"/>
  <c r="P30" i="4"/>
  <c r="O30" i="4"/>
  <c r="R30" i="4" s="1"/>
  <c r="P31" i="4"/>
  <c r="O31" i="4"/>
  <c r="R31" i="4" s="1"/>
  <c r="P32" i="4"/>
  <c r="O32" i="4"/>
  <c r="R32" i="4" s="1"/>
  <c r="P33" i="4"/>
  <c r="O33" i="4"/>
  <c r="R33" i="4" s="1"/>
  <c r="P34" i="4"/>
  <c r="O34" i="4"/>
  <c r="R34" i="4" s="1"/>
  <c r="P35" i="4"/>
  <c r="O35" i="4"/>
  <c r="R35" i="4" s="1"/>
  <c r="P36" i="4"/>
  <c r="O36" i="4"/>
  <c r="R36" i="4" s="1"/>
  <c r="P37" i="4"/>
  <c r="O37" i="4"/>
  <c r="R37" i="4" s="1"/>
  <c r="P38" i="4"/>
  <c r="O38" i="4"/>
  <c r="R38" i="4" s="1"/>
  <c r="P39" i="4"/>
  <c r="O39" i="4"/>
  <c r="R39" i="4" s="1"/>
  <c r="P40" i="4"/>
  <c r="O40" i="4"/>
  <c r="R40" i="4" s="1"/>
  <c r="P41" i="4"/>
  <c r="O41" i="4"/>
  <c r="R41" i="4" s="1"/>
  <c r="S3" i="4"/>
  <c r="T3" i="4" s="1"/>
  <c r="S5" i="4"/>
  <c r="S7" i="4"/>
  <c r="T7" i="4" s="1"/>
  <c r="S9" i="4"/>
  <c r="T9" i="4" s="1"/>
  <c r="S11" i="4"/>
  <c r="T11" i="4" s="1"/>
  <c r="S13" i="4"/>
  <c r="T13" i="4" s="1"/>
  <c r="S15" i="4"/>
  <c r="T15" i="4" s="1"/>
  <c r="S17" i="4"/>
  <c r="S19" i="4"/>
  <c r="T19" i="4" s="1"/>
  <c r="S21" i="4"/>
  <c r="T21" i="4" s="1"/>
  <c r="S23" i="4"/>
  <c r="T23" i="4" s="1"/>
  <c r="S25" i="4"/>
  <c r="T25" i="4" s="1"/>
  <c r="S27" i="4"/>
  <c r="T27" i="4" s="1"/>
  <c r="S29" i="4"/>
  <c r="T29" i="4" s="1"/>
  <c r="S31" i="4"/>
  <c r="T31" i="4" s="1"/>
  <c r="S33" i="4"/>
  <c r="T33" i="4" s="1"/>
  <c r="S35" i="4"/>
  <c r="T35" i="4" s="1"/>
  <c r="S37" i="4"/>
  <c r="T37" i="4" s="1"/>
  <c r="S39" i="4"/>
  <c r="T39" i="4" s="1"/>
  <c r="S41" i="4"/>
  <c r="T41" i="4" s="1"/>
  <c r="M23" i="2"/>
  <c r="T23" i="2" s="1"/>
  <c r="M31" i="2"/>
  <c r="T31" i="2" s="1"/>
  <c r="M35" i="2"/>
  <c r="T35" i="2" s="1"/>
  <c r="M5" i="2"/>
  <c r="T5" i="2" s="1"/>
  <c r="M17" i="2"/>
  <c r="T17" i="2" s="1"/>
  <c r="M21" i="2"/>
  <c r="T21" i="2" s="1"/>
  <c r="M37" i="2"/>
  <c r="M41" i="2"/>
  <c r="T41" i="2" s="1"/>
  <c r="M2" i="2"/>
  <c r="M14" i="2"/>
  <c r="T14" i="2" s="1"/>
  <c r="M26" i="2"/>
  <c r="T26" i="2" s="1"/>
  <c r="M4" i="2"/>
  <c r="T4" i="2" s="1"/>
  <c r="M12" i="2"/>
  <c r="M16" i="2"/>
  <c r="T16" i="2" s="1"/>
  <c r="M29" i="2"/>
  <c r="T29" i="2" s="1"/>
  <c r="M38" i="2"/>
  <c r="T38" i="2" s="1"/>
  <c r="M8" i="2"/>
  <c r="T8" i="2" s="1"/>
  <c r="M9" i="2"/>
  <c r="T9" i="2" s="1"/>
  <c r="M19" i="2"/>
  <c r="T19" i="2" s="1"/>
  <c r="M27" i="2"/>
  <c r="T27" i="2" s="1"/>
  <c r="M28" i="2"/>
  <c r="T28" i="2" s="1"/>
  <c r="T37" i="2"/>
  <c r="M39" i="2"/>
  <c r="T39" i="2" s="1"/>
  <c r="M7" i="2"/>
  <c r="T7" i="2" s="1"/>
  <c r="M11" i="2"/>
  <c r="T11" i="2" s="1"/>
  <c r="M20" i="2"/>
  <c r="T20" i="2" s="1"/>
  <c r="M3" i="2"/>
  <c r="M15" i="2"/>
  <c r="T15" i="2" s="1"/>
  <c r="M40" i="2"/>
  <c r="T40" i="2" s="1"/>
  <c r="M13" i="2"/>
  <c r="T13" i="2" s="1"/>
  <c r="M25" i="2"/>
  <c r="T25" i="2" s="1"/>
  <c r="M33" i="2"/>
  <c r="T33" i="2" s="1"/>
  <c r="M34" i="2"/>
  <c r="T34" i="2" s="1"/>
  <c r="M36" i="2"/>
  <c r="T36" i="2" s="1"/>
  <c r="M6" i="2"/>
  <c r="T6" i="2" s="1"/>
  <c r="M10" i="2"/>
  <c r="T10" i="2" s="1"/>
  <c r="M18" i="2"/>
  <c r="T18" i="2" s="1"/>
  <c r="M22" i="2"/>
  <c r="T22" i="2" s="1"/>
  <c r="M24" i="2"/>
  <c r="T24" i="2" s="1"/>
  <c r="M30" i="2"/>
  <c r="T30" i="2" s="1"/>
  <c r="M32" i="2"/>
  <c r="T32" i="2" s="1"/>
  <c r="T12" i="2"/>
  <c r="T3" i="2"/>
  <c r="T2" i="2"/>
  <c r="I42" i="1"/>
  <c r="J42" i="1" s="1"/>
  <c r="K42" i="1"/>
  <c r="L42" i="1"/>
  <c r="I43" i="1"/>
  <c r="J43" i="1" s="1"/>
  <c r="K43" i="1"/>
  <c r="L43" i="1"/>
  <c r="L3" i="1"/>
  <c r="I4" i="1"/>
  <c r="J4" i="1" s="1"/>
  <c r="L5" i="1"/>
  <c r="K6" i="1"/>
  <c r="L7" i="1"/>
  <c r="K8" i="1"/>
  <c r="L9" i="1"/>
  <c r="K10" i="1"/>
  <c r="L11" i="1"/>
  <c r="K12" i="1"/>
  <c r="L13" i="1"/>
  <c r="L15" i="1"/>
  <c r="L17" i="1"/>
  <c r="K18" i="1"/>
  <c r="L19" i="1"/>
  <c r="I20" i="1"/>
  <c r="J20" i="1" s="1"/>
  <c r="L21" i="1"/>
  <c r="I22" i="1"/>
  <c r="J22" i="1" s="1"/>
  <c r="L23" i="1"/>
  <c r="L25" i="1"/>
  <c r="I26" i="1"/>
  <c r="J26" i="1" s="1"/>
  <c r="L27" i="1"/>
  <c r="L29" i="1"/>
  <c r="K30" i="1"/>
  <c r="L31" i="1"/>
  <c r="K32" i="1"/>
  <c r="L33" i="1"/>
  <c r="K35" i="1"/>
  <c r="I36" i="1"/>
  <c r="J36" i="1" s="1"/>
  <c r="K37" i="1"/>
  <c r="K38" i="1"/>
  <c r="L39" i="1"/>
  <c r="L41" i="1"/>
  <c r="L4" i="1"/>
  <c r="L6" i="1"/>
  <c r="L14" i="1"/>
  <c r="L16" i="1"/>
  <c r="L20" i="1"/>
  <c r="L22" i="1"/>
  <c r="L30" i="1"/>
  <c r="I38" i="1"/>
  <c r="J38" i="1" s="1"/>
  <c r="K2" i="1"/>
  <c r="L10" i="1"/>
  <c r="I12" i="1"/>
  <c r="J12" i="1" s="1"/>
  <c r="L18" i="1"/>
  <c r="L26" i="1"/>
  <c r="I28" i="1"/>
  <c r="J28" i="1" s="1"/>
  <c r="L38" i="1"/>
  <c r="I6" i="1"/>
  <c r="J6" i="1" s="1"/>
  <c r="L12" i="1"/>
  <c r="L28" i="1"/>
  <c r="I40" i="1"/>
  <c r="J40" i="1" s="1"/>
  <c r="K4" i="1"/>
  <c r="L8" i="1"/>
  <c r="I10" i="1"/>
  <c r="J10" i="1" s="1"/>
  <c r="K14" i="1"/>
  <c r="K16" i="1"/>
  <c r="K22" i="1"/>
  <c r="K24" i="1"/>
  <c r="L24" i="1"/>
  <c r="K26" i="1"/>
  <c r="K28" i="1"/>
  <c r="L34" i="1"/>
  <c r="K36" i="1"/>
  <c r="K40" i="1"/>
  <c r="L40" i="1"/>
  <c r="R44" i="4" l="1"/>
  <c r="S44" i="4" s="1"/>
  <c r="T44" i="4" s="1"/>
  <c r="R45" i="4"/>
  <c r="S45" i="4"/>
  <c r="T45" i="4" s="1"/>
  <c r="O42" i="4"/>
  <c r="R42" i="4" s="1"/>
  <c r="S42" i="4" s="1"/>
  <c r="T42" i="4" s="1"/>
  <c r="R43" i="4"/>
  <c r="S43" i="4" s="1"/>
  <c r="T43" i="4" s="1"/>
  <c r="S38" i="4"/>
  <c r="T38" i="4" s="1"/>
  <c r="S30" i="4"/>
  <c r="T30" i="4" s="1"/>
  <c r="S22" i="4"/>
  <c r="T22" i="4" s="1"/>
  <c r="S14" i="4"/>
  <c r="T14" i="4" s="1"/>
  <c r="S6" i="4"/>
  <c r="T6" i="4" s="1"/>
  <c r="S34" i="4"/>
  <c r="T34" i="4" s="1"/>
  <c r="S26" i="4"/>
  <c r="T26" i="4" s="1"/>
  <c r="S18" i="4"/>
  <c r="T18" i="4" s="1"/>
  <c r="S10" i="4"/>
  <c r="T10" i="4" s="1"/>
  <c r="S2" i="4"/>
  <c r="T2" i="4" s="1"/>
  <c r="S40" i="4"/>
  <c r="T40" i="4" s="1"/>
  <c r="S36" i="4"/>
  <c r="T36" i="4" s="1"/>
  <c r="S32" i="4"/>
  <c r="T32" i="4" s="1"/>
  <c r="S28" i="4"/>
  <c r="T28" i="4" s="1"/>
  <c r="S24" i="4"/>
  <c r="T24" i="4" s="1"/>
  <c r="S20" i="4"/>
  <c r="T20" i="4" s="1"/>
  <c r="S16" i="4"/>
  <c r="T16" i="4" s="1"/>
  <c r="S12" i="4"/>
  <c r="T12" i="4" s="1"/>
  <c r="S8" i="4"/>
  <c r="T8" i="4" s="1"/>
  <c r="S4" i="4"/>
  <c r="T4" i="4" s="1"/>
  <c r="M42" i="1"/>
  <c r="N42" i="1" s="1"/>
  <c r="O42" i="1" s="1"/>
  <c r="M43" i="1"/>
  <c r="N43" i="1" s="1"/>
  <c r="O43" i="1" s="1"/>
  <c r="M40" i="1"/>
  <c r="N40" i="1" s="1"/>
  <c r="O40" i="1" s="1"/>
  <c r="K20" i="1"/>
  <c r="M20" i="1" s="1"/>
  <c r="N20" i="1" s="1"/>
  <c r="O20" i="1" s="1"/>
  <c r="I34" i="1"/>
  <c r="J34" i="1" s="1"/>
  <c r="I24" i="1"/>
  <c r="J24" i="1" s="1"/>
  <c r="I8" i="1"/>
  <c r="J8" i="1" s="1"/>
  <c r="L36" i="1"/>
  <c r="M36" i="1" s="1"/>
  <c r="N36" i="1" s="1"/>
  <c r="O36" i="1" s="1"/>
  <c r="I18" i="1"/>
  <c r="J18" i="1" s="1"/>
  <c r="K34" i="1"/>
  <c r="M34" i="1" s="1"/>
  <c r="N34" i="1" s="1"/>
  <c r="I16" i="1"/>
  <c r="J16" i="1" s="1"/>
  <c r="I30" i="1"/>
  <c r="J30" i="1" s="1"/>
  <c r="I14" i="1"/>
  <c r="J14" i="1" s="1"/>
  <c r="I32" i="1"/>
  <c r="J32" i="1" s="1"/>
  <c r="L32" i="1"/>
  <c r="M32" i="1" s="1"/>
  <c r="N32" i="1" s="1"/>
  <c r="I21" i="1"/>
  <c r="J21" i="1" s="1"/>
  <c r="K21" i="1"/>
  <c r="M21" i="1" s="1"/>
  <c r="N21" i="1" s="1"/>
  <c r="I13" i="1"/>
  <c r="J13" i="1" s="1"/>
  <c r="K13" i="1"/>
  <c r="M13" i="1" s="1"/>
  <c r="N13" i="1" s="1"/>
  <c r="I5" i="1"/>
  <c r="J5" i="1" s="1"/>
  <c r="K5" i="1"/>
  <c r="M5" i="1" s="1"/>
  <c r="N5" i="1" s="1"/>
  <c r="I39" i="1"/>
  <c r="J39" i="1" s="1"/>
  <c r="K39" i="1"/>
  <c r="M39" i="1" s="1"/>
  <c r="N39" i="1" s="1"/>
  <c r="I31" i="1"/>
  <c r="J31" i="1" s="1"/>
  <c r="K31" i="1"/>
  <c r="M31" i="1" s="1"/>
  <c r="N31" i="1" s="1"/>
  <c r="I23" i="1"/>
  <c r="J23" i="1" s="1"/>
  <c r="K23" i="1"/>
  <c r="M23" i="1" s="1"/>
  <c r="N23" i="1" s="1"/>
  <c r="I15" i="1"/>
  <c r="J15" i="1" s="1"/>
  <c r="K15" i="1"/>
  <c r="M15" i="1" s="1"/>
  <c r="N15" i="1" s="1"/>
  <c r="I7" i="1"/>
  <c r="J7" i="1" s="1"/>
  <c r="K7" i="1"/>
  <c r="M7" i="1" s="1"/>
  <c r="N7" i="1" s="1"/>
  <c r="I37" i="1"/>
  <c r="J37" i="1" s="1"/>
  <c r="L37" i="1"/>
  <c r="M37" i="1" s="1"/>
  <c r="N37" i="1" s="1"/>
  <c r="K29" i="1"/>
  <c r="M29" i="1" s="1"/>
  <c r="N29" i="1" s="1"/>
  <c r="I29" i="1"/>
  <c r="J29" i="1" s="1"/>
  <c r="K41" i="1"/>
  <c r="M41" i="1" s="1"/>
  <c r="N41" i="1" s="1"/>
  <c r="I41" i="1"/>
  <c r="J41" i="1" s="1"/>
  <c r="K33" i="1"/>
  <c r="M33" i="1" s="1"/>
  <c r="N33" i="1" s="1"/>
  <c r="I33" i="1"/>
  <c r="J33" i="1" s="1"/>
  <c r="K25" i="1"/>
  <c r="M25" i="1" s="1"/>
  <c r="N25" i="1" s="1"/>
  <c r="I25" i="1"/>
  <c r="J25" i="1" s="1"/>
  <c r="K17" i="1"/>
  <c r="M17" i="1" s="1"/>
  <c r="N17" i="1" s="1"/>
  <c r="I17" i="1"/>
  <c r="J17" i="1" s="1"/>
  <c r="K9" i="1"/>
  <c r="M9" i="1" s="1"/>
  <c r="N9" i="1" s="1"/>
  <c r="I9" i="1"/>
  <c r="J9" i="1" s="1"/>
  <c r="L35" i="1"/>
  <c r="M35" i="1" s="1"/>
  <c r="N35" i="1" s="1"/>
  <c r="I35" i="1"/>
  <c r="J35" i="1" s="1"/>
  <c r="K27" i="1"/>
  <c r="M27" i="1" s="1"/>
  <c r="N27" i="1" s="1"/>
  <c r="I27" i="1"/>
  <c r="J27" i="1" s="1"/>
  <c r="I19" i="1"/>
  <c r="J19" i="1" s="1"/>
  <c r="K19" i="1"/>
  <c r="M19" i="1" s="1"/>
  <c r="N19" i="1" s="1"/>
  <c r="I11" i="1"/>
  <c r="J11" i="1" s="1"/>
  <c r="K11" i="1"/>
  <c r="M11" i="1" s="1"/>
  <c r="N11" i="1" s="1"/>
  <c r="K3" i="1"/>
  <c r="M3" i="1" s="1"/>
  <c r="N3" i="1" s="1"/>
  <c r="I3" i="1"/>
  <c r="J3" i="1" s="1"/>
  <c r="L2" i="1"/>
  <c r="M2" i="1" s="1"/>
  <c r="N2" i="1" s="1"/>
  <c r="I2" i="1"/>
  <c r="J2" i="1" s="1"/>
  <c r="M22" i="1"/>
  <c r="N22" i="1" s="1"/>
  <c r="O22" i="1" s="1"/>
  <c r="M14" i="1"/>
  <c r="N14" i="1" s="1"/>
  <c r="M30" i="1"/>
  <c r="N30" i="1" s="1"/>
  <c r="O30" i="1" s="1"/>
  <c r="M8" i="1"/>
  <c r="N8" i="1" s="1"/>
  <c r="M6" i="1"/>
  <c r="N6" i="1" s="1"/>
  <c r="O6" i="1" s="1"/>
  <c r="M38" i="1"/>
  <c r="N38" i="1" s="1"/>
  <c r="O38" i="1" s="1"/>
  <c r="M28" i="1"/>
  <c r="N28" i="1" s="1"/>
  <c r="O28" i="1" s="1"/>
  <c r="M18" i="1"/>
  <c r="N18" i="1" s="1"/>
  <c r="M16" i="1"/>
  <c r="N16" i="1" s="1"/>
  <c r="M26" i="1"/>
  <c r="N26" i="1" s="1"/>
  <c r="O26" i="1" s="1"/>
  <c r="M12" i="1"/>
  <c r="N12" i="1" s="1"/>
  <c r="O12" i="1" s="1"/>
  <c r="M10" i="1"/>
  <c r="N10" i="1" s="1"/>
  <c r="O10" i="1" s="1"/>
  <c r="M4" i="1"/>
  <c r="N4" i="1" s="1"/>
  <c r="O4" i="1" s="1"/>
  <c r="M24" i="1"/>
  <c r="N24" i="1" s="1"/>
  <c r="O8" i="1" l="1"/>
  <c r="O9" i="1"/>
  <c r="O41" i="1"/>
  <c r="O25" i="1"/>
  <c r="O34" i="1"/>
  <c r="O24" i="1"/>
  <c r="O3" i="1"/>
  <c r="O35" i="1"/>
  <c r="O17" i="1"/>
  <c r="O29" i="1"/>
  <c r="O18" i="1"/>
  <c r="O32" i="1"/>
  <c r="O33" i="1"/>
  <c r="O15" i="1"/>
  <c r="O37" i="1"/>
  <c r="O16" i="1"/>
  <c r="O31" i="1"/>
  <c r="O11" i="1"/>
  <c r="O5" i="1"/>
  <c r="O21" i="1"/>
  <c r="O7" i="1"/>
  <c r="O14" i="1"/>
  <c r="O19" i="1"/>
  <c r="O2" i="1"/>
  <c r="O39" i="1"/>
  <c r="O23" i="1"/>
  <c r="O13" i="1"/>
  <c r="O27" i="1"/>
</calcChain>
</file>

<file path=xl/sharedStrings.xml><?xml version="1.0" encoding="utf-8"?>
<sst xmlns="http://schemas.openxmlformats.org/spreadsheetml/2006/main" count="485" uniqueCount="45">
  <si>
    <t xml:space="preserve">Date </t>
  </si>
  <si>
    <t>Symbol</t>
  </si>
  <si>
    <t>Expiry</t>
  </si>
  <si>
    <t>Trade Type</t>
  </si>
  <si>
    <t>Option Type</t>
  </si>
  <si>
    <t>Lot Size</t>
  </si>
  <si>
    <t>Entry Price</t>
  </si>
  <si>
    <t>Exit Price</t>
  </si>
  <si>
    <t>Points</t>
  </si>
  <si>
    <t>Gross Profit</t>
  </si>
  <si>
    <t>Sell Value</t>
  </si>
  <si>
    <t>Buy Value</t>
  </si>
  <si>
    <t>Net Profit</t>
  </si>
  <si>
    <t>LONG</t>
  </si>
  <si>
    <t>MIDCPNIFTY</t>
  </si>
  <si>
    <t>SHORT</t>
  </si>
  <si>
    <t>Total Turnover</t>
  </si>
  <si>
    <t>Total Expense</t>
  </si>
  <si>
    <t>FUT</t>
  </si>
  <si>
    <t>NIFTY</t>
  </si>
  <si>
    <t>Row Labels</t>
  </si>
  <si>
    <t>Grand Total</t>
  </si>
  <si>
    <t>2024</t>
  </si>
  <si>
    <t>2025</t>
  </si>
  <si>
    <t>2026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</si>
  <si>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</si>
  <si>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</si>
  <si>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</si>
  <si>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</si>
  <si>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</si>
  <si>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</si>
  <si>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</si>
  <si>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</si>
  <si>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</si>
  <si>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</si>
  <si>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</si>
  <si>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</si>
  <si>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</si>
  <si>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Net Profit</t>
  </si>
  <si>
    <t>Qty</t>
  </si>
  <si>
    <t>STT</t>
  </si>
  <si>
    <t>Exchange Fee</t>
  </si>
  <si>
    <t>SEBI Turnover fee</t>
  </si>
  <si>
    <t>Stanmp duty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</si>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</sst>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00%"/>
    <numFmt numFmtId="167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3" fontId="2" fillId="2" borderId="1" xfId="1" applyFont="1" applyFill="1" applyBorder="1" applyAlignment="1">
      <alignment vertical="center" wrapText="1"/>
    </xf>
    <xf numFmtId="164" fontId="3" fillId="0" borderId="2" xfId="0" applyNumberFormat="1" applyFont="1" applyBorder="1"/>
    <xf numFmtId="14" fontId="0" fillId="0" borderId="2" xfId="0" applyNumberFormat="1" applyBorder="1"/>
    <xf numFmtId="0" fontId="0" fillId="0" borderId="2" xfId="0" applyBorder="1"/>
    <xf numFmtId="165" fontId="0" fillId="0" borderId="0" xfId="2" applyNumberFormat="1" applyFont="1"/>
    <xf numFmtId="0" fontId="0" fillId="3" borderId="2" xfId="0" applyFill="1" applyBorder="1"/>
    <xf numFmtId="43" fontId="2" fillId="2" borderId="1" xfId="1" applyFont="1" applyFill="1" applyBorder="1" applyAlignment="1">
      <alignment horizontal="center" vertical="center" wrapText="1"/>
    </xf>
    <xf numFmtId="166" fontId="0" fillId="0" borderId="0" xfId="2" applyNumberFormat="1" applyFont="1"/>
    <xf numFmtId="167" fontId="0" fillId="0" borderId="0" xfId="2" applyNumberFormat="1" applyFont="1"/>
    <xf numFmtId="0" fontId="0" fillId="0" borderId="2" xfId="0" applyFill="1" applyBorder="1"/>
    <xf numFmtId="14" fontId="0" fillId="0" borderId="2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FF06" refreshedDate="46199.77718553241" createdVersion="8" refreshedVersion="8" minRefreshableVersion="3" recordCount="42">
  <cacheSource type="worksheet">
    <worksheetSource ref="A1:O43" sheet="P&amp;L"/>
  </cacheSource>
  <cacheFields count="21">
    <cacheField name="Date " numFmtId="14">
      <sharedItems containsSemiMixedTypes="0" containsNonDate="0" containsDate="1" containsString="0" minDate="2024-09-26T00:00:00" maxDate="2026-05-27T00:00:00" count="24">
        <d v="2024-09-26T00:00:00"/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</sharedItems>
      <fieldGroup par="17"/>
    </cacheField>
    <cacheField name="Symbol" numFmtId="0">
      <sharedItems/>
    </cacheField>
    <cacheField name="Expiry" numFmtId="14">
      <sharedItems containsSemiMixedTypes="0" containsNonDate="0" containsDate="1" containsString="0" minDate="2024-10-28T00:00:00" maxDate="2026-07-01T00:00:00" count="24"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  <d v="2026-06-30T00:00:00"/>
      </sharedItems>
      <fieldGroup par="20"/>
    </cacheField>
    <cacheField name="Trade Type" numFmtId="0">
      <sharedItems/>
    </cacheField>
    <cacheField name="Option Type" numFmtId="0">
      <sharedItems/>
    </cacheField>
    <cacheField name="Lot Size" numFmtId="0">
      <sharedItems containsSemiMixedTypes="0" containsString="0" containsNumber="1" containsInteger="1" minValue="25" maxValue="140"/>
    </cacheField>
    <cacheField name="Entry Price" numFmtId="0">
      <sharedItems containsSemiMixedTypes="0" containsString="0" containsNumber="1" minValue="11017.05" maxValue="26308.55"/>
    </cacheField>
    <cacheField name="Exit Price" numFmtId="0">
      <sharedItems containsSemiMixedTypes="0" containsString="0" containsNumber="1" minValue="10965" maxValue="25940"/>
    </cacheField>
    <cacheField name="Points" numFmtId="164">
      <sharedItems containsSemiMixedTypes="0" containsString="0" containsNumber="1" minValue="-1557.6999999999971" maxValue="3264.2000000000007"/>
    </cacheField>
    <cacheField name="Gross Profit" numFmtId="164">
      <sharedItems containsSemiMixedTypes="0" containsString="0" containsNumber="1" minValue="-159144.00000000009" maxValue="217122.00000000006"/>
    </cacheField>
    <cacheField name="Sell Value" numFmtId="164">
      <sharedItems containsSemiMixedTypes="0" containsString="0" containsNumber="1" minValue="602796.25" maxValue="1957425"/>
    </cacheField>
    <cacheField name="Buy Value" numFmtId="164">
      <sharedItems containsSemiMixedTypes="0" containsString="0" containsNumber="1" minValue="590032.5" maxValue="1946252"/>
    </cacheField>
    <cacheField name="Total Turnover" numFmtId="164">
      <sharedItems containsSemiMixedTypes="0" containsString="0" containsNumber="1" minValue="1196541.25" maxValue="3899745"/>
    </cacheField>
    <cacheField name="Total Expense" numFmtId="164">
      <sharedItems containsSemiMixedTypes="0" containsString="0" containsNumber="1" minValue="160.33652750000002" maxValue="522.56583000000001"/>
    </cacheField>
    <cacheField name="Net Profit" numFmtId="164">
      <sharedItems containsSemiMixedTypes="0" containsString="0" containsNumber="1" minValue="-159556.5291840001" maxValue="216701.81914800007"/>
    </cacheField>
    <cacheField name="Months (Date )" numFmtId="0" databaseField="0">
      <fieldGroup base="0">
        <rangePr groupBy="months" startDate="2024-09-26T00:00:00" endDate="2026-05-27T00:00:00"/>
        <groupItems count="14">
          <s v="&lt;26-09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5-2026"/>
        </groupItems>
      </fieldGroup>
    </cacheField>
    <cacheField name="Quarters (Date )" numFmtId="0" databaseField="0">
      <fieldGroup base="0">
        <rangePr groupBy="quarters" startDate="2024-09-26T00:00:00" endDate="2026-05-27T00:00:00"/>
        <groupItems count="6">
          <s v="&lt;26-09-2024"/>
          <s v="Qtr1"/>
          <s v="Qtr2"/>
          <s v="Qtr3"/>
          <s v="Qtr4"/>
          <s v="&gt;27-05-2026"/>
        </groupItems>
      </fieldGroup>
    </cacheField>
    <cacheField name="Years (Date )" numFmtId="0" databaseField="0">
      <fieldGroup base="0">
        <rangePr groupBy="years" startDate="2024-09-26T00:00:00" endDate="2026-05-27T00:00:00"/>
        <groupItems count="5">
          <s v="&lt;26-09-2024"/>
          <s v="2024"/>
          <s v="2025"/>
          <s v="2026"/>
          <s v="&gt;27-05-2026"/>
        </groupItems>
      </fieldGroup>
    </cacheField>
    <cacheField name="Months (Expiry)" numFmtId="0" databaseField="0">
      <fieldGroup base="2">
        <rangePr groupBy="months" startDate="2024-10-28T00:00:00" endDate="2026-07-01T00:00:00"/>
        <groupItems count="14">
          <s v="&lt;28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Quarters (Expiry)" numFmtId="0" databaseField="0">
      <fieldGroup base="2">
        <rangePr groupBy="quarters" startDate="2024-10-28T00:00:00" endDate="2026-07-01T00:00:00"/>
        <groupItems count="6">
          <s v="&lt;28-10-2024"/>
          <s v="Qtr1"/>
          <s v="Qtr2"/>
          <s v="Qtr3"/>
          <s v="Qtr4"/>
          <s v="&gt;01-07-2026"/>
        </groupItems>
      </fieldGroup>
    </cacheField>
    <cacheField name="Years (Expiry)" numFmtId="0" databaseField="0">
      <fieldGroup base="2">
        <rangePr groupBy="years" startDate="2024-10-28T00:00:00" endDate="2026-07-01T00:00:00"/>
        <groupItems count="5">
          <s v="&lt;28-10-2024"/>
          <s v="2024"/>
          <s v="2025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FF14" refreshedDate="46212.702823495369" createdVersion="6" refreshedVersion="6" minRefreshableVersion="3" recordCount="44">
  <cacheSource type="worksheet">
    <worksheetSource ref="A1:T45" sheet="P&amp;L 30 Cr."/>
  </cacheSource>
  <cacheFields count="26">
    <cacheField name="Date " numFmtId="14">
      <sharedItems containsSemiMixedTypes="0" containsNonDate="0" containsDate="1" containsString="0" minDate="2024-09-26T00:00:00" maxDate="2026-07-01T00:00:00" count="25">
        <d v="2024-09-26T00:00:00"/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  <d v="2026-06-30T00:00:00"/>
      </sharedItems>
      <fieldGroup par="22"/>
    </cacheField>
    <cacheField name="Symbol" numFmtId="0">
      <sharedItems/>
    </cacheField>
    <cacheField name="Expiry" numFmtId="14">
      <sharedItems containsSemiMixedTypes="0" containsNonDate="0" containsDate="1" containsString="0" minDate="2024-10-28T00:00:00" maxDate="2026-07-29T00:00:00" count="25"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  <d v="2026-06-30T00:00:00"/>
        <d v="2026-07-28T00:00:00"/>
      </sharedItems>
      <fieldGroup par="25"/>
    </cacheField>
    <cacheField name="Trade Type" numFmtId="0">
      <sharedItems/>
    </cacheField>
    <cacheField name="Option Type" numFmtId="0">
      <sharedItems/>
    </cacheField>
    <cacheField name="Qty" numFmtId="0">
      <sharedItems containsSemiMixedTypes="0" containsString="0" containsNumber="1" containsInteger="1" minValue="11400" maxValue="27240"/>
    </cacheField>
    <cacheField name="Entry Price" numFmtId="0">
      <sharedItems containsSemiMixedTypes="0" containsString="0" containsNumber="1" minValue="11017.05" maxValue="26308.55"/>
    </cacheField>
    <cacheField name="Exit Price" numFmtId="0">
      <sharedItems containsSemiMixedTypes="0" containsString="0" containsNumber="1" minValue="10965" maxValue="25940"/>
    </cacheField>
    <cacheField name="Points" numFmtId="164">
      <sharedItems containsSemiMixedTypes="0" containsString="0" containsNumber="1" minValue="-1557.6999999999971" maxValue="3264.2000000000007"/>
    </cacheField>
    <cacheField name="Gross Profit" numFmtId="164">
      <sharedItems containsSemiMixedTypes="0" containsString="0" containsNumber="1" minValue="-36125688.000000022" maxValue="49286694.000000007"/>
    </cacheField>
    <cacheField name="Sell Value" numFmtId="164">
      <sharedItems containsSemiMixedTypes="0" containsString="0" containsNumber="1" minValue="273635670" maxValue="400068432"/>
    </cacheField>
    <cacheField name="Buy Value" numFmtId="164">
      <sharedItems containsSemiMixedTypes="0" containsString="0" containsNumber="1" containsInteger="1" minValue="253291500" maxValue="402525480"/>
    </cacheField>
    <cacheField name="Total Turnover" numFmtId="164">
      <sharedItems containsSemiMixedTypes="0" containsString="0" containsNumber="1" minValue="526927170" maxValue="795499254"/>
    </cacheField>
    <cacheField name="STT" numFmtId="164">
      <sharedItems containsSemiMixedTypes="0" containsString="0" containsNumber="1" minValue="54727.134000000005" maxValue="200034.21600000001"/>
    </cacheField>
    <cacheField name="Exchange Fee" numFmtId="164">
      <sharedItems containsSemiMixedTypes="0" containsString="0" containsNumber="1" minValue="9115.8400409999995" maxValue="13762.137094199999"/>
    </cacheField>
    <cacheField name="SEBI Turnover fee" numFmtId="164">
      <sharedItems containsSemiMixedTypes="0" containsString="0" containsNumber="1" minValue="526.92716999999993" maxValue="795.49925399999995"/>
    </cacheField>
    <cacheField name="Stanmp duty" numFmtId="164">
      <sharedItems containsSemiMixedTypes="0" containsString="0" containsNumber="1" minValue="50658.3" maxValue="80505.096000000005"/>
    </cacheField>
    <cacheField name="GST" numFmtId="164">
      <sharedItems containsSemiMixedTypes="0" containsString="0" containsNumber="1" minValue="1735.6980979799996" maxValue="2620.3745426759997"/>
    </cacheField>
    <cacheField name="Total Expense" numFmtId="164">
      <sharedItems containsSemiMixedTypes="0" containsString="0" containsNumber="1" minValue="116763.89930898001" maxValue="296265.79569985205"/>
    </cacheField>
    <cacheField name="Net Profit" numFmtId="164">
      <sharedItems containsSemiMixedTypes="0" containsString="0" containsNumber="1" minValue="-36280546.031222709" maxValue="49014800.793223843"/>
    </cacheField>
    <cacheField name="Months (Date )" numFmtId="0" databaseField="0">
      <fieldGroup base="0">
        <rangePr groupBy="months" startDate="2024-09-26T00:00:00" endDate="2026-07-01T00:00:00"/>
        <groupItems count="14">
          <s v="&lt;26-09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Quarters (Date )" numFmtId="0" databaseField="0">
      <fieldGroup base="0">
        <rangePr groupBy="quarters" startDate="2024-09-26T00:00:00" endDate="2026-07-01T00:00:00"/>
        <groupItems count="6">
          <s v="&lt;26-09-2024"/>
          <s v="Qtr1"/>
          <s v="Qtr2"/>
          <s v="Qtr3"/>
          <s v="Qtr4"/>
          <s v="&gt;01-07-2026"/>
        </groupItems>
      </fieldGroup>
    </cacheField>
    <cacheField name="Years (Date )" numFmtId="0" databaseField="0">
      <fieldGroup base="0">
        <rangePr groupBy="years" startDate="2024-09-26T00:00:00" endDate="2026-07-01T00:00:00"/>
        <groupItems count="5">
          <s v="&lt;26-09-2024"/>
          <s v="2024"/>
          <s v="2025"/>
          <s v="2026"/>
          <s v="&gt;01-07-2026"/>
        </groupItems>
      </fieldGroup>
    </cacheField>
    <cacheField name="Months (Expiry)" numFmtId="0" databaseField="0">
      <fieldGroup base="2">
        <rangePr groupBy="months" startDate="2024-10-28T00:00:00" endDate="2026-07-29T00:00:00"/>
        <groupItems count="14">
          <s v="&lt;28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6"/>
        </groupItems>
      </fieldGroup>
    </cacheField>
    <cacheField name="Quarters (Expiry)" numFmtId="0" databaseField="0">
      <fieldGroup base="2">
        <rangePr groupBy="quarters" startDate="2024-10-28T00:00:00" endDate="2026-07-29T00:00:00"/>
        <groupItems count="6">
          <s v="&lt;28-10-2024"/>
          <s v="Qtr1"/>
          <s v="Qtr2"/>
          <s v="Qtr3"/>
          <s v="Qtr4"/>
          <s v="&gt;29-07-2026"/>
        </groupItems>
      </fieldGroup>
    </cacheField>
    <cacheField name="Years (Expiry)" numFmtId="0" databaseField="0">
      <fieldGroup base="2">
        <rangePr groupBy="years" startDate="2024-10-28T00:00:00" endDate="2026-07-29T00:00:00"/>
        <groupItems count="5">
          <s v="&lt;28-10-2024"/>
          <s v="2024"/>
          <s v="2025"/>
          <s v="2026"/>
          <s v="&gt;29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MIDCPNIFTY"/>
    <x v="0"/>
    <s v="LONG"/>
    <s v="FUT"/>
    <n v="50"/>
    <n v="13337.1"/>
    <n v="12402.65"/>
    <n v="-934.45000000000073"/>
    <n v="-46722.500000000036"/>
    <n v="620132.5"/>
    <n v="666855"/>
    <n v="1286987.5"/>
    <n v="172.45632499999999"/>
    <n v="-46894.956325000036"/>
  </r>
  <r>
    <x v="0"/>
    <s v="NIFTY"/>
    <x v="1"/>
    <s v="SHORT"/>
    <s v="FUT"/>
    <n v="25"/>
    <n v="26308.55"/>
    <n v="24209"/>
    <n v="2099.5499999999993"/>
    <n v="52488.749999999985"/>
    <n v="657713.75"/>
    <n v="605225"/>
    <n v="1262938.75"/>
    <n v="169.23379249999999"/>
    <n v="52319.516207499983"/>
  </r>
  <r>
    <x v="1"/>
    <s v="MIDCPNIFTY"/>
    <x v="2"/>
    <s v="LONG"/>
    <s v="FUT"/>
    <n v="50"/>
    <n v="12454.45"/>
    <n v="12573.65"/>
    <n v="119.19999999999891"/>
    <n v="5959.9999999999454"/>
    <n v="628682.5"/>
    <n v="622722.5"/>
    <n v="1251405"/>
    <n v="167.68827000000002"/>
    <n v="5792.3117299999458"/>
  </r>
  <r>
    <x v="2"/>
    <s v="NIFTY"/>
    <x v="3"/>
    <s v="SHORT"/>
    <s v="FUT"/>
    <n v="25"/>
    <n v="24398.3"/>
    <n v="23901.55"/>
    <n v="496.75"/>
    <n v="12418.75"/>
    <n v="609957.5"/>
    <n v="597538.75"/>
    <n v="1207496.25"/>
    <n v="161.8044975"/>
    <n v="12256.945502500001"/>
  </r>
  <r>
    <x v="3"/>
    <s v="MIDCPNIFTY"/>
    <x v="4"/>
    <s v="LONG"/>
    <s v="FUT"/>
    <n v="50"/>
    <n v="12660"/>
    <n v="12993"/>
    <n v="333"/>
    <n v="16650"/>
    <n v="649650"/>
    <n v="633000"/>
    <n v="1282650"/>
    <n v="171.8751"/>
    <n v="16478.124899999999"/>
  </r>
  <r>
    <x v="4"/>
    <s v="NIFTY"/>
    <x v="5"/>
    <s v="SHORT"/>
    <s v="FUT"/>
    <n v="25"/>
    <n v="24111.85"/>
    <n v="23749.8"/>
    <n v="362.04999999999927"/>
    <n v="9051.2499999999818"/>
    <n v="602796.25"/>
    <n v="593745"/>
    <n v="1196541.25"/>
    <n v="160.33652750000002"/>
    <n v="8890.9134724999822"/>
  </r>
  <r>
    <x v="5"/>
    <s v="MIDCPNIFTY"/>
    <x v="6"/>
    <s v="SHORT"/>
    <s v="FUT"/>
    <n v="50"/>
    <n v="12997.05"/>
    <n v="11800.65"/>
    <n v="1196.3999999999996"/>
    <n v="59819.999999999985"/>
    <n v="649852.5"/>
    <n v="590032.5"/>
    <n v="1239885"/>
    <n v="166.14458999999999"/>
    <n v="59653.855409999982"/>
  </r>
  <r>
    <x v="6"/>
    <s v="NIFTY"/>
    <x v="6"/>
    <s v="LONG"/>
    <s v="FUT"/>
    <n v="25"/>
    <n v="23925"/>
    <n v="24281.45"/>
    <n v="356.45000000000073"/>
    <n v="8911.2500000000182"/>
    <n v="607036.25"/>
    <n v="598125"/>
    <n v="1205161.25"/>
    <n v="161.49160750000001"/>
    <n v="8749.7583925000181"/>
  </r>
  <r>
    <x v="7"/>
    <s v="MIDCPNIFTY"/>
    <x v="7"/>
    <s v="SHORT"/>
    <s v="FUT"/>
    <n v="120"/>
    <n v="11845.7"/>
    <n v="10965"/>
    <n v="880.70000000000073"/>
    <n v="105684.00000000009"/>
    <n v="1421484"/>
    <n v="1315800"/>
    <n v="2737284"/>
    <n v="366.79605600000002"/>
    <n v="105317.20394400008"/>
  </r>
  <r>
    <x v="7"/>
    <s v="NIFTY"/>
    <x v="7"/>
    <s v="LONG"/>
    <s v="FUT"/>
    <n v="75"/>
    <n v="23405.1"/>
    <n v="22546.75"/>
    <n v="-858.34999999999854"/>
    <n v="-64376.249999999891"/>
    <n v="1691006.25"/>
    <n v="1755382.5"/>
    <n v="3446388.75"/>
    <n v="461.81609250000002"/>
    <n v="-64838.066092499888"/>
  </r>
  <r>
    <x v="8"/>
    <s v="MIDCPNIFTY"/>
    <x v="8"/>
    <s v="LONG"/>
    <s v="FUT"/>
    <n v="120"/>
    <n v="11017.05"/>
    <n v="11517.95"/>
    <n v="500.90000000000146"/>
    <n v="60108.000000000175"/>
    <n v="1382154"/>
    <n v="1322046"/>
    <n v="2704200"/>
    <n v="362.36279999999999"/>
    <n v="59745.637200000172"/>
  </r>
  <r>
    <x v="8"/>
    <s v="NIFTY"/>
    <x v="8"/>
    <s v="SHORT"/>
    <s v="FUT"/>
    <n v="75"/>
    <n v="22686.45"/>
    <n v="23590.75"/>
    <n v="-904.29999999999927"/>
    <n v="-67822.499999999942"/>
    <n v="1701483.75"/>
    <n v="1769306.25"/>
    <n v="3470790"/>
    <n v="465.08586000000003"/>
    <n v="-68287.585859999948"/>
  </r>
  <r>
    <x v="9"/>
    <s v="MIDCPNIFTY"/>
    <x v="9"/>
    <s v="LONG"/>
    <s v="FUT"/>
    <n v="120"/>
    <n v="11639"/>
    <n v="12251"/>
    <n v="612"/>
    <n v="73440"/>
    <n v="1470120"/>
    <n v="1396680"/>
    <n v="2866800"/>
    <n v="384.15120000000002"/>
    <n v="73055.848800000007"/>
  </r>
  <r>
    <x v="9"/>
    <s v="NIFTY"/>
    <x v="9"/>
    <s v="SHORT"/>
    <s v="FUT"/>
    <n v="75"/>
    <n v="23756.05"/>
    <n v="24246.5"/>
    <n v="-490.45000000000073"/>
    <n v="-36783.750000000058"/>
    <n v="1781703.75"/>
    <n v="1818487.5"/>
    <n v="3600191.25"/>
    <n v="482.42562750000002"/>
    <n v="-37266.175627500059"/>
  </r>
  <r>
    <x v="10"/>
    <s v="MIDCPNIFTY"/>
    <x v="10"/>
    <s v="LONG"/>
    <s v="FUT"/>
    <n v="120"/>
    <n v="12272.8"/>
    <n v="12702.6"/>
    <n v="429.80000000000109"/>
    <n v="51576.000000000131"/>
    <n v="1524312"/>
    <n v="1472736"/>
    <n v="2997048"/>
    <n v="401.60443200000003"/>
    <n v="51174.395568000131"/>
  </r>
  <r>
    <x v="10"/>
    <s v="NIFTY"/>
    <x v="10"/>
    <s v="SHORT"/>
    <s v="FUT"/>
    <n v="75"/>
    <n v="24373.9"/>
    <n v="24824.2"/>
    <n v="-450.29999999999927"/>
    <n v="-33772.499999999942"/>
    <n v="1828042.5"/>
    <n v="1861815"/>
    <n v="3689857.5"/>
    <n v="494.44090500000004"/>
    <n v="-34266.940904999945"/>
  </r>
  <r>
    <x v="11"/>
    <s v="MIDCPNIFTY"/>
    <x v="11"/>
    <s v="LONG"/>
    <s v="FUT"/>
    <n v="120"/>
    <n v="12790"/>
    <n v="13300.7"/>
    <n v="510.70000000000073"/>
    <n v="61284.000000000087"/>
    <n v="1596084"/>
    <n v="1534800"/>
    <n v="3130884"/>
    <n v="419.538456"/>
    <n v="60864.461544000085"/>
  </r>
  <r>
    <x v="11"/>
    <s v="NIFTY"/>
    <x v="11"/>
    <s v="SHORT"/>
    <s v="FUT"/>
    <n v="75"/>
    <n v="24939.200000000001"/>
    <n v="25545.8"/>
    <n v="-606.59999999999854"/>
    <n v="-45494.999999999891"/>
    <n v="1870440"/>
    <n v="1915935"/>
    <n v="3786375"/>
    <n v="507.37425000000002"/>
    <n v="-46002.374249999892"/>
  </r>
  <r>
    <x v="12"/>
    <s v="MIDCPNIFTY"/>
    <x v="12"/>
    <s v="LONG"/>
    <s v="FUT"/>
    <n v="140"/>
    <n v="13382.05"/>
    <n v="12869.55"/>
    <n v="-512.5"/>
    <n v="-71750"/>
    <n v="1801737"/>
    <n v="1873487"/>
    <n v="3675224"/>
    <n v="492.48001600000003"/>
    <n v="-72242.480016000001"/>
  </r>
  <r>
    <x v="12"/>
    <s v="NIFTY"/>
    <x v="12"/>
    <s v="SHORT"/>
    <s v="FUT"/>
    <n v="75"/>
    <n v="25606.6"/>
    <n v="24767.4"/>
    <n v="839.19999999999709"/>
    <n v="62939.999999999782"/>
    <n v="1920495"/>
    <n v="1857555"/>
    <n v="3778050"/>
    <n v="506.25870000000003"/>
    <n v="62433.741299999783"/>
  </r>
  <r>
    <x v="13"/>
    <s v="MIDCPNIFTY"/>
    <x v="13"/>
    <s v="LONG"/>
    <s v="FUT"/>
    <n v="140"/>
    <n v="12911.3"/>
    <n v="12536.6"/>
    <n v="-374.69999999999891"/>
    <n v="-52457.999999999847"/>
    <n v="1755124"/>
    <n v="1807582"/>
    <n v="3562706"/>
    <n v="477.402604"/>
    <n v="-52935.40260399985"/>
  </r>
  <r>
    <x v="13"/>
    <s v="NIFTY"/>
    <x v="13"/>
    <s v="SHORT"/>
    <s v="FUT"/>
    <n v="75"/>
    <n v="24860"/>
    <n v="24494.6"/>
    <n v="365.40000000000146"/>
    <n v="27405.000000000109"/>
    <n v="1864500"/>
    <n v="1837095"/>
    <n v="3701595"/>
    <n v="496.01373000000001"/>
    <n v="26908.98627000011"/>
  </r>
  <r>
    <x v="14"/>
    <s v="MIDCPNIFTY"/>
    <x v="14"/>
    <s v="LONG"/>
    <s v="FUT"/>
    <n v="140"/>
    <n v="12590.35"/>
    <n v="12600"/>
    <n v="9.6499999999996362"/>
    <n v="1350.9999999999491"/>
    <n v="1764000"/>
    <n v="1762649"/>
    <n v="3526649"/>
    <n v="472.570966"/>
    <n v="878.42903399994907"/>
  </r>
  <r>
    <x v="14"/>
    <s v="NIFTY"/>
    <x v="14"/>
    <s v="SHORT"/>
    <s v="FUT"/>
    <n v="75"/>
    <n v="24646.6"/>
    <n v="24609"/>
    <n v="37.599999999998545"/>
    <n v="2819.9999999998909"/>
    <n v="1848495"/>
    <n v="1845675"/>
    <n v="3694170"/>
    <n v="495.01877999999999"/>
    <n v="2324.981219999891"/>
  </r>
  <r>
    <x v="15"/>
    <s v="MIDCPNIFTY"/>
    <x v="15"/>
    <s v="LONG"/>
    <s v="FUT"/>
    <n v="140"/>
    <n v="12663.3"/>
    <n v="13366"/>
    <n v="702.70000000000073"/>
    <n v="98378.000000000102"/>
    <n v="1871240"/>
    <n v="1772862"/>
    <n v="3644102"/>
    <n v="488.30966800000004"/>
    <n v="97889.6903320001"/>
  </r>
  <r>
    <x v="15"/>
    <s v="NIFTY"/>
    <x v="15"/>
    <s v="SHORT"/>
    <s v="FUT"/>
    <n v="75"/>
    <n v="24771.200000000001"/>
    <n v="25940"/>
    <n v="-1168.7999999999993"/>
    <n v="-87659.999999999942"/>
    <n v="1857840"/>
    <n v="1945500"/>
    <n v="3803340"/>
    <n v="509.64756"/>
    <n v="-88169.647559999939"/>
  </r>
  <r>
    <x v="16"/>
    <s v="MIDCPNIFTY"/>
    <x v="16"/>
    <s v="LONG"/>
    <s v="FUT"/>
    <n v="140"/>
    <n v="13443.45"/>
    <n v="13809.65"/>
    <n v="366.19999999999891"/>
    <n v="51267.999999999847"/>
    <n v="1933351"/>
    <n v="1882083"/>
    <n v="3815434"/>
    <n v="511.26815600000003"/>
    <n v="50756.731843999849"/>
  </r>
  <r>
    <x v="16"/>
    <s v="NIFTY"/>
    <x v="16"/>
    <s v="SHORT"/>
    <s v="FUT"/>
    <n v="75"/>
    <n v="26099"/>
    <n v="25889.9"/>
    <n v="209.09999999999854"/>
    <n v="15682.499999999891"/>
    <n v="1957425"/>
    <n v="1941742.5"/>
    <n v="3899167.5"/>
    <n v="522.48844500000007"/>
    <n v="15160.01155499989"/>
  </r>
  <r>
    <x v="17"/>
    <s v="MIDCPNIFTY"/>
    <x v="17"/>
    <s v="LONG"/>
    <s v="FUT"/>
    <n v="140"/>
    <n v="13901.8"/>
    <n v="13600"/>
    <n v="-301.79999999999927"/>
    <n v="-42251.999999999898"/>
    <n v="1904000"/>
    <n v="1946252"/>
    <n v="3850252"/>
    <n v="515.93376799999999"/>
    <n v="-42767.933767999901"/>
  </r>
  <r>
    <x v="17"/>
    <s v="NIFTY"/>
    <x v="17"/>
    <s v="SHORT"/>
    <s v="FUT"/>
    <n v="75"/>
    <n v="26059.9"/>
    <n v="25936.7"/>
    <n v="123.20000000000073"/>
    <n v="9240.0000000000546"/>
    <n v="1954492.5"/>
    <n v="1945252.5"/>
    <n v="3899745"/>
    <n v="522.56583000000001"/>
    <n v="8717.434170000055"/>
  </r>
  <r>
    <x v="18"/>
    <s v="MIDCPNIFTY"/>
    <x v="18"/>
    <s v="LONG"/>
    <s v="FUT"/>
    <n v="120"/>
    <n v="13667.55"/>
    <n v="13120.95"/>
    <n v="-546.59999999999854"/>
    <n v="-65591.999999999825"/>
    <n v="1574514"/>
    <n v="1640106"/>
    <n v="3214620"/>
    <n v="430.75908000000004"/>
    <n v="-66022.759079999829"/>
  </r>
  <r>
    <x v="18"/>
    <s v="NIFTY"/>
    <x v="18"/>
    <s v="SHORT"/>
    <s v="FUT"/>
    <n v="65"/>
    <n v="26117.5"/>
    <n v="25174"/>
    <n v="943.5"/>
    <n v="61327.5"/>
    <n v="1697637.5"/>
    <n v="1636310"/>
    <n v="3333947.5"/>
    <n v="446.748965"/>
    <n v="60880.751035000001"/>
  </r>
  <r>
    <x v="19"/>
    <s v="MIDCPNIFTY"/>
    <x v="19"/>
    <s v="LONG"/>
    <s v="FUT"/>
    <n v="120"/>
    <n v="13191.85"/>
    <n v="13441.4"/>
    <n v="249.54999999999927"/>
    <n v="29945.999999999913"/>
    <n v="1612968"/>
    <n v="1583022"/>
    <n v="3195990"/>
    <n v="428.26266000000004"/>
    <n v="29517.737339999912"/>
  </r>
  <r>
    <x v="19"/>
    <s v="NIFTY"/>
    <x v="19"/>
    <s v="SHORT"/>
    <s v="FUT"/>
    <n v="65"/>
    <n v="25375.8"/>
    <n v="25417.5"/>
    <n v="-41.700000000000728"/>
    <n v="-2710.5000000000473"/>
    <n v="1649427"/>
    <n v="1652137.5"/>
    <n v="3301564.5"/>
    <n v="442.40964300000002"/>
    <n v="-3152.9096430000473"/>
  </r>
  <r>
    <x v="20"/>
    <s v="MIDCPNIFTY"/>
    <x v="20"/>
    <s v="LONG"/>
    <s v="FUT"/>
    <n v="120"/>
    <n v="13490.5"/>
    <n v="12164.3"/>
    <n v="-1326.2000000000007"/>
    <n v="-159144.00000000009"/>
    <n v="1459716"/>
    <n v="1618860"/>
    <n v="3078576"/>
    <n v="412.52918399999999"/>
    <n v="-159556.5291840001"/>
  </r>
  <r>
    <x v="20"/>
    <s v="NIFTY"/>
    <x v="20"/>
    <s v="SHORT"/>
    <s v="FUT"/>
    <n v="65"/>
    <n v="25588.2"/>
    <n v="22324"/>
    <n v="3264.2000000000007"/>
    <n v="212173.00000000006"/>
    <n v="1663233"/>
    <n v="1451060"/>
    <n v="3114293"/>
    <n v="417.31526200000002"/>
    <n v="211755.68473800007"/>
  </r>
  <r>
    <x v="21"/>
    <s v="MIDCPNIFTY"/>
    <x v="21"/>
    <s v="LONG"/>
    <s v="FUT"/>
    <n v="120"/>
    <n v="12160.65"/>
    <n v="13970"/>
    <n v="1809.3500000000004"/>
    <n v="217122.00000000006"/>
    <n v="1676400"/>
    <n v="1459278"/>
    <n v="3135678"/>
    <n v="420.18085200000002"/>
    <n v="216701.81914800007"/>
  </r>
  <r>
    <x v="21"/>
    <s v="NIFTY"/>
    <x v="21"/>
    <s v="SHORT"/>
    <s v="FUT"/>
    <n v="65"/>
    <n v="22419.4"/>
    <n v="23977.1"/>
    <n v="-1557.6999999999971"/>
    <n v="-101250.49999999981"/>
    <n v="1457261"/>
    <n v="1558511.5"/>
    <n v="3015772.5"/>
    <n v="404.11351500000001"/>
    <n v="-101654.61351499982"/>
  </r>
  <r>
    <x v="22"/>
    <s v="MIDCPNIFTY"/>
    <x v="22"/>
    <s v="LONG"/>
    <s v="FUT"/>
    <n v="120"/>
    <n v="14010"/>
    <n v="14676.6"/>
    <n v="666.60000000000036"/>
    <n v="79992.000000000044"/>
    <n v="1761192"/>
    <n v="1681200"/>
    <n v="3442392"/>
    <n v="461.280528"/>
    <n v="79530.719472000041"/>
  </r>
  <r>
    <x v="22"/>
    <s v="NIFTY"/>
    <x v="22"/>
    <s v="SHORT"/>
    <s v="FUT"/>
    <n v="65"/>
    <n v="24052.799999999999"/>
    <n v="23915"/>
    <n v="137.79999999999927"/>
    <n v="8956.9999999999527"/>
    <n v="1563432"/>
    <n v="1554475"/>
    <n v="3117907"/>
    <n v="417.79953800000004"/>
    <n v="8539.2004619999534"/>
  </r>
  <r>
    <x v="23"/>
    <s v="MIDCPNIFTY"/>
    <x v="23"/>
    <s v="LONG"/>
    <s v="FUT"/>
    <n v="120"/>
    <n v="14777"/>
    <n v="14546"/>
    <n v="-231"/>
    <n v="-27720"/>
    <n v="1745520"/>
    <n v="1773240"/>
    <n v="3518760"/>
    <n v="471.51384000000002"/>
    <n v="-28191.51384"/>
  </r>
  <r>
    <x v="23"/>
    <s v="NIFTY"/>
    <x v="23"/>
    <s v="SHORT"/>
    <s v="FUT"/>
    <n v="65"/>
    <n v="23978"/>
    <n v="24051"/>
    <n v="-73"/>
    <n v="-4745"/>
    <n v="1558570"/>
    <n v="1563315"/>
    <n v="3121885"/>
    <n v="418.33259000000004"/>
    <n v="-5163.332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4">
  <r>
    <x v="0"/>
    <s v="MIDCPNIFTY"/>
    <x v="0"/>
    <s v="LONG"/>
    <s v="FUT"/>
    <n v="22500"/>
    <n v="13337.1"/>
    <n v="12402.65"/>
    <n v="-934.45000000000073"/>
    <n v="-21025125.000000015"/>
    <n v="279059625"/>
    <n v="300084750"/>
    <n v="579144375"/>
    <n v="55811.925000000003"/>
    <n v="10019.1976875"/>
    <n v="579.14437499999997"/>
    <n v="60016.950000000004"/>
    <n v="1907.7015712499999"/>
    <n v="128334.91863375001"/>
    <n v="-21153459.918633766"/>
  </r>
  <r>
    <x v="0"/>
    <s v="NIFTY"/>
    <x v="1"/>
    <s v="SHORT"/>
    <s v="FUT"/>
    <n v="11400"/>
    <n v="26308.55"/>
    <n v="24209"/>
    <n v="2099.5499999999993"/>
    <n v="23934869.999999993"/>
    <n v="299917470"/>
    <n v="275982600"/>
    <n v="575900070"/>
    <n v="59983.494000000006"/>
    <n v="9963.0712110000004"/>
    <n v="575.90007000000003"/>
    <n v="55196.520000000004"/>
    <n v="1897.0148305799999"/>
    <n v="127616.00011158001"/>
    <n v="23807253.999888413"/>
  </r>
  <r>
    <x v="1"/>
    <s v="MIDCPNIFTY"/>
    <x v="2"/>
    <s v="LONG"/>
    <s v="FUT"/>
    <n v="22500"/>
    <n v="12454.45"/>
    <n v="12573.65"/>
    <n v="119.19999999999891"/>
    <n v="2681999.9999999753"/>
    <n v="282907125"/>
    <n v="280225125"/>
    <n v="563132250"/>
    <n v="56581.425000000003"/>
    <n v="9742.1879250000002"/>
    <n v="563.13225"/>
    <n v="56045.025000000001"/>
    <n v="1854.9576315000002"/>
    <n v="124786.72780650001"/>
    <n v="2557213.2721934752"/>
  </r>
  <r>
    <x v="2"/>
    <s v="NIFTY"/>
    <x v="3"/>
    <s v="SHORT"/>
    <s v="FUT"/>
    <n v="11400"/>
    <n v="24398.3"/>
    <n v="23901.55"/>
    <n v="496.75"/>
    <n v="5662950"/>
    <n v="278140620"/>
    <n v="272477670"/>
    <n v="550618290"/>
    <n v="55628.124000000003"/>
    <n v="9525.696417000001"/>
    <n v="550.61829"/>
    <n v="54495.534"/>
    <n v="1813.7366472600002"/>
    <n v="122013.70935426001"/>
    <n v="5540936.29064574"/>
  </r>
  <r>
    <x v="3"/>
    <s v="MIDCPNIFTY"/>
    <x v="4"/>
    <s v="LONG"/>
    <s v="FUT"/>
    <n v="22500"/>
    <n v="12660"/>
    <n v="12993"/>
    <n v="333"/>
    <n v="7492500"/>
    <n v="292342500"/>
    <n v="284850000"/>
    <n v="577192500"/>
    <n v="58468.5"/>
    <n v="9985.4302499999994"/>
    <n v="577.1925"/>
    <n v="56970"/>
    <n v="1901.2720949999996"/>
    <n v="127902.394845"/>
    <n v="7364597.6051550005"/>
  </r>
  <r>
    <x v="4"/>
    <s v="NIFTY"/>
    <x v="5"/>
    <s v="SHORT"/>
    <s v="FUT"/>
    <n v="11400"/>
    <n v="24111.85"/>
    <n v="23749.8"/>
    <n v="362.04999999999927"/>
    <n v="4127369.9999999916"/>
    <n v="274875090"/>
    <n v="270747720"/>
    <n v="545622810"/>
    <n v="54975.018000000004"/>
    <n v="9439.2746129999996"/>
    <n v="545.62280999999996"/>
    <n v="54149.544000000002"/>
    <n v="1797.2815361400001"/>
    <n v="120906.74095914001"/>
    <n v="4006463.2590408516"/>
  </r>
  <r>
    <x v="5"/>
    <s v="MIDCPNIFTY"/>
    <x v="6"/>
    <s v="SHORT"/>
    <s v="FUT"/>
    <n v="23100"/>
    <n v="12997.05"/>
    <n v="11800.65"/>
    <n v="1196.3999999999996"/>
    <n v="27636839.999999993"/>
    <n v="300231855"/>
    <n v="272595015"/>
    <n v="572826870"/>
    <n v="60046.371000000006"/>
    <n v="9909.9048509999993"/>
    <n v="572.82686999999999"/>
    <n v="54519.003000000004"/>
    <n v="1886.8917097799999"/>
    <n v="126934.99743078003"/>
    <n v="27509905.002569214"/>
  </r>
  <r>
    <x v="6"/>
    <s v="NIFTY"/>
    <x v="6"/>
    <s v="LONG"/>
    <s v="FUT"/>
    <n v="12550"/>
    <n v="23925"/>
    <n v="24281.45"/>
    <n v="356.45000000000073"/>
    <n v="4473447.5000000093"/>
    <n v="304732197.5"/>
    <n v="300258750"/>
    <n v="604990947.5"/>
    <n v="60946.4395"/>
    <n v="10466.343391750001"/>
    <n v="604.99094749999995"/>
    <n v="60051.75"/>
    <n v="1992.840181065"/>
    <n v="134062.364020315"/>
    <n v="4339385.1359796943"/>
  </r>
  <r>
    <x v="7"/>
    <s v="MIDCPNIFTY"/>
    <x v="7"/>
    <s v="SHORT"/>
    <s v="FUT"/>
    <n v="23100"/>
    <n v="11845.7"/>
    <n v="10965"/>
    <n v="880.70000000000073"/>
    <n v="20344170.000000019"/>
    <n v="273635670"/>
    <n v="253291500"/>
    <n v="526927170"/>
    <n v="54727.134000000005"/>
    <n v="9115.8400409999995"/>
    <n v="526.92716999999993"/>
    <n v="50658.3"/>
    <n v="1735.6980979799996"/>
    <n v="116763.89930898001"/>
    <n v="20227406.100691039"/>
  </r>
  <r>
    <x v="7"/>
    <s v="NIFTY"/>
    <x v="7"/>
    <s v="LONG"/>
    <s v="FUT"/>
    <n v="12550"/>
    <n v="23405.1"/>
    <n v="22546.75"/>
    <n v="-858.34999999999854"/>
    <n v="-10772292.499999981"/>
    <n v="282961712.5"/>
    <n v="293734005"/>
    <n v="576695717.5"/>
    <n v="56592.342500000006"/>
    <n v="9976.8359127500007"/>
    <n v="576.6957175"/>
    <n v="58746.800999999999"/>
    <n v="1899.6356934450002"/>
    <n v="127792.31082369502"/>
    <n v="-10900084.810823677"/>
  </r>
  <r>
    <x v="8"/>
    <s v="MIDCPNIFTY"/>
    <x v="8"/>
    <s v="LONG"/>
    <s v="FUT"/>
    <n v="27240"/>
    <n v="11017.05"/>
    <n v="11517.95"/>
    <n v="500.90000000000146"/>
    <n v="13644516.000000039"/>
    <n v="313748958"/>
    <n v="300104442"/>
    <n v="613853400"/>
    <n v="62749.791600000004"/>
    <n v="10619.66382"/>
    <n v="613.85339999999997"/>
    <n v="60020.888400000003"/>
    <n v="2022.0330995999998"/>
    <n v="136026.2303196"/>
    <n v="13508489.769680439"/>
  </r>
  <r>
    <x v="8"/>
    <s v="NIFTY"/>
    <x v="8"/>
    <s v="SHORT"/>
    <s v="FUT"/>
    <n v="13200"/>
    <n v="22686.45"/>
    <n v="23590.75"/>
    <n v="-904.29999999999927"/>
    <n v="-11936759.999999991"/>
    <n v="299461140"/>
    <n v="311397900"/>
    <n v="610859040"/>
    <n v="59892.228000000003"/>
    <n v="10567.861392000001"/>
    <n v="610.85903999999994"/>
    <n v="62279.58"/>
    <n v="2012.16967776"/>
    <n v="135362.69810976001"/>
    <n v="-12072122.698109752"/>
  </r>
  <r>
    <x v="9"/>
    <s v="MIDCPNIFTY"/>
    <x v="9"/>
    <s v="LONG"/>
    <s v="FUT"/>
    <n v="27240"/>
    <n v="11639"/>
    <n v="12251"/>
    <n v="612"/>
    <n v="16670880"/>
    <n v="333717240"/>
    <n v="317046360"/>
    <n v="650763600"/>
    <n v="66743.448000000004"/>
    <n v="11258.210280000001"/>
    <n v="650.7636"/>
    <n v="63409.272000000004"/>
    <n v="2143.6152984"/>
    <n v="144205.3091784"/>
    <n v="16526674.690821599"/>
  </r>
  <r>
    <x v="9"/>
    <s v="NIFTY"/>
    <x v="9"/>
    <s v="SHORT"/>
    <s v="FUT"/>
    <n v="13200"/>
    <n v="23756.05"/>
    <n v="24246.5"/>
    <n v="-490.45000000000073"/>
    <n v="-6473940.0000000093"/>
    <n v="313579860"/>
    <n v="320053800"/>
    <n v="633633660"/>
    <n v="62715.972000000002"/>
    <n v="10961.862318"/>
    <n v="633.63365999999996"/>
    <n v="64010.76"/>
    <n v="2087.1892760399996"/>
    <n v="140409.41725404002"/>
    <n v="-6614349.4172540493"/>
  </r>
  <r>
    <x v="10"/>
    <s v="MIDCPNIFTY"/>
    <x v="10"/>
    <s v="LONG"/>
    <s v="FUT"/>
    <n v="27240"/>
    <n v="12272.8"/>
    <n v="12702.6"/>
    <n v="429.80000000000109"/>
    <n v="11707752.00000003"/>
    <n v="346018824"/>
    <n v="334311072"/>
    <n v="680329896"/>
    <n v="69203.764800000004"/>
    <n v="11769.7072008"/>
    <n v="680.32989599999996"/>
    <n v="66862.214399999997"/>
    <n v="2241.0066774239999"/>
    <n v="150757.022974224"/>
    <n v="11556994.977025805"/>
  </r>
  <r>
    <x v="10"/>
    <s v="NIFTY"/>
    <x v="10"/>
    <s v="SHORT"/>
    <s v="FUT"/>
    <n v="13200"/>
    <n v="24373.9"/>
    <n v="24824.2"/>
    <n v="-450.29999999999927"/>
    <n v="-5943959.9999999907"/>
    <n v="321735480"/>
    <n v="327679440"/>
    <n v="649414920"/>
    <n v="64347.096000000005"/>
    <n v="11234.878116"/>
    <n v="649.41491999999994"/>
    <n v="65535.888000000006"/>
    <n v="2139.1727464799997"/>
    <n v="143906.44978247999"/>
    <n v="-6087866.4497824702"/>
  </r>
  <r>
    <x v="11"/>
    <s v="MIDCPNIFTY"/>
    <x v="11"/>
    <s v="LONG"/>
    <s v="FUT"/>
    <n v="27240"/>
    <n v="12790"/>
    <n v="13300.7"/>
    <n v="510.70000000000073"/>
    <n v="13911468.00000002"/>
    <n v="362311068"/>
    <n v="348399600"/>
    <n v="710710668"/>
    <n v="72462.213600000003"/>
    <n v="12295.2945564"/>
    <n v="710.71066799999994"/>
    <n v="69679.92"/>
    <n v="2341.0809403919998"/>
    <n v="157489.21976479201"/>
    <n v="13753978.780235229"/>
  </r>
  <r>
    <x v="11"/>
    <s v="NIFTY"/>
    <x v="11"/>
    <s v="SHORT"/>
    <s v="FUT"/>
    <n v="13200"/>
    <n v="24939.200000000001"/>
    <n v="25545.8"/>
    <n v="-606.59999999999854"/>
    <n v="-8007119.9999999804"/>
    <n v="329197440"/>
    <n v="337204560"/>
    <n v="666402000"/>
    <n v="65839.487999999998"/>
    <n v="11528.7546"/>
    <n v="666.40199999999993"/>
    <n v="67440.911999999997"/>
    <n v="2195.1281880000001"/>
    <n v="147670.68478800001"/>
    <n v="-8154790.6847879803"/>
  </r>
  <r>
    <x v="12"/>
    <s v="MIDCPNIFTY"/>
    <x v="12"/>
    <s v="LONG"/>
    <s v="FUT"/>
    <n v="27240"/>
    <n v="13382.05"/>
    <n v="12869.55"/>
    <n v="-512.5"/>
    <n v="-13960500"/>
    <n v="350566542"/>
    <n v="364527042"/>
    <n v="715093584"/>
    <n v="70113.308400000009"/>
    <n v="12371.119003199999"/>
    <n v="715.09358399999996"/>
    <n v="72905.4084"/>
    <n v="2355.5182656960001"/>
    <n v="158460.44765289602"/>
    <n v="-14118960.447652897"/>
  </r>
  <r>
    <x v="12"/>
    <s v="NIFTY"/>
    <x v="12"/>
    <s v="SHORT"/>
    <s v="FUT"/>
    <n v="13200"/>
    <n v="25606.6"/>
    <n v="24767.4"/>
    <n v="839.19999999999709"/>
    <n v="11077439.999999961"/>
    <n v="338007120"/>
    <n v="326929680"/>
    <n v="664936800"/>
    <n v="67601.423999999999"/>
    <n v="11503.406640000001"/>
    <n v="664.93679999999995"/>
    <n v="65385.936000000002"/>
    <n v="2190.3018192"/>
    <n v="147346.0052592"/>
    <n v="10930093.994740762"/>
  </r>
  <r>
    <x v="13"/>
    <s v="MIDCPNIFTY"/>
    <x v="13"/>
    <s v="LONG"/>
    <s v="FUT"/>
    <n v="27240"/>
    <n v="12911.3"/>
    <n v="12536.6"/>
    <n v="-374.69999999999891"/>
    <n v="-10206827.99999997"/>
    <n v="341496984"/>
    <n v="351703812"/>
    <n v="693200796"/>
    <n v="68299.396800000002"/>
    <n v="11992.373770800001"/>
    <n v="693.20079599999997"/>
    <n v="70340.762400000007"/>
    <n v="2283.4034220240001"/>
    <n v="153609.13718882404"/>
    <n v="-10360437.137188794"/>
  </r>
  <r>
    <x v="13"/>
    <s v="NIFTY"/>
    <x v="13"/>
    <s v="SHORT"/>
    <s v="FUT"/>
    <n v="13200"/>
    <n v="24860"/>
    <n v="24494.6"/>
    <n v="365.40000000000146"/>
    <n v="4823280.0000000196"/>
    <n v="328152000"/>
    <n v="323328720"/>
    <n v="651480720"/>
    <n v="65630.400000000009"/>
    <n v="11270.616456"/>
    <n v="651.48072000000002"/>
    <n v="64665.744000000006"/>
    <n v="2145.9774916799997"/>
    <n v="144364.21866768005"/>
    <n v="4678915.7813323392"/>
  </r>
  <r>
    <x v="14"/>
    <s v="MIDCPNIFTY"/>
    <x v="14"/>
    <s v="LONG"/>
    <s v="FUT"/>
    <n v="27240"/>
    <n v="12590.35"/>
    <n v="12600"/>
    <n v="9.6499999999996362"/>
    <n v="262865.9999999901"/>
    <n v="343224000"/>
    <n v="342961134"/>
    <n v="686185134"/>
    <n v="68644.800000000003"/>
    <n v="11871.002818200001"/>
    <n v="686.18513399999995"/>
    <n v="68592.226800000004"/>
    <n v="2260.2938313959999"/>
    <n v="152054.50858359601"/>
    <n v="110811.4914163941"/>
  </r>
  <r>
    <x v="14"/>
    <s v="NIFTY"/>
    <x v="14"/>
    <s v="SHORT"/>
    <s v="FUT"/>
    <n v="13200"/>
    <n v="24646.6"/>
    <n v="24609"/>
    <n v="37.599999999998545"/>
    <n v="496319.99999998079"/>
    <n v="325335120"/>
    <n v="324838800"/>
    <n v="650173920"/>
    <n v="65067.024000000005"/>
    <n v="11248.008816"/>
    <n v="650.17391999999995"/>
    <n v="64967.76"/>
    <n v="2141.6728924799995"/>
    <n v="144074.63962848001"/>
    <n v="352245.36037150078"/>
  </r>
  <r>
    <x v="15"/>
    <s v="MIDCPNIFTY"/>
    <x v="15"/>
    <s v="LONG"/>
    <s v="FUT"/>
    <n v="27240"/>
    <n v="12663.3"/>
    <n v="13366"/>
    <n v="702.70000000000073"/>
    <n v="19141548.000000019"/>
    <n v="364089840"/>
    <n v="344948292"/>
    <n v="709038132"/>
    <n v="72817.968000000008"/>
    <n v="12266.3596836"/>
    <n v="709.03813200000002"/>
    <n v="68989.6584"/>
    <n v="2335.5716068079996"/>
    <n v="157118.59582240801"/>
    <n v="18984429.40417761"/>
  </r>
  <r>
    <x v="15"/>
    <s v="NIFTY"/>
    <x v="15"/>
    <s v="SHORT"/>
    <s v="FUT"/>
    <n v="13200"/>
    <n v="24771.200000000001"/>
    <n v="25940"/>
    <n v="-1168.7999999999993"/>
    <n v="-15428159.999999991"/>
    <n v="326979840"/>
    <n v="342408000"/>
    <n v="669387840"/>
    <n v="65395.968000000001"/>
    <n v="11580.409632000001"/>
    <n v="669.38783999999998"/>
    <n v="68481.600000000006"/>
    <n v="2204.96354496"/>
    <n v="148332.32901695999"/>
    <n v="-15576492.32901695"/>
  </r>
  <r>
    <x v="16"/>
    <s v="MIDCPNIFTY"/>
    <x v="16"/>
    <s v="LONG"/>
    <s v="FUT"/>
    <n v="27240"/>
    <n v="13443.45"/>
    <n v="13809.65"/>
    <n v="366.19999999999891"/>
    <n v="9975287.9999999702"/>
    <n v="376174866"/>
    <n v="366199578"/>
    <n v="742374444"/>
    <n v="75234.973200000008"/>
    <n v="12843.077881200001"/>
    <n v="742.37444399999993"/>
    <n v="73239.915600000008"/>
    <n v="2445.3814185359997"/>
    <n v="164505.72254373605"/>
    <n v="9810782.2774562333"/>
  </r>
  <r>
    <x v="16"/>
    <s v="NIFTY"/>
    <x v="16"/>
    <s v="SHORT"/>
    <s v="FUT"/>
    <n v="13200"/>
    <n v="26099"/>
    <n v="25889.9"/>
    <n v="209.09999999999854"/>
    <n v="2760119.9999999809"/>
    <n v="344506800"/>
    <n v="341746680"/>
    <n v="686253480"/>
    <n v="68901.36"/>
    <n v="11872.185203999999"/>
    <n v="686.25347999999997"/>
    <n v="68349.33600000001"/>
    <n v="2260.5189631199996"/>
    <n v="152069.65364711999"/>
    <n v="2608050.3463528608"/>
  </r>
  <r>
    <x v="17"/>
    <s v="MIDCPNIFTY"/>
    <x v="17"/>
    <s v="LONG"/>
    <s v="FUT"/>
    <n v="27240"/>
    <n v="13901.8"/>
    <n v="13600"/>
    <n v="-301.79999999999927"/>
    <n v="-8221031.9999999804"/>
    <n v="370464000"/>
    <n v="378685032"/>
    <n v="749149032"/>
    <n v="74092.800000000003"/>
    <n v="12960.2782536"/>
    <n v="749.14903199999992"/>
    <n v="75737.006399999998"/>
    <n v="2467.6969114079998"/>
    <n v="166006.930597008"/>
    <n v="-8387038.9305969886"/>
  </r>
  <r>
    <x v="17"/>
    <s v="NIFTY"/>
    <x v="17"/>
    <s v="SHORT"/>
    <s v="FUT"/>
    <n v="13200"/>
    <n v="26059.9"/>
    <n v="25936.7"/>
    <n v="123.20000000000073"/>
    <n v="1626240.0000000095"/>
    <n v="343990680"/>
    <n v="342364440"/>
    <n v="686355120"/>
    <n v="68798.135999999999"/>
    <n v="11873.943576"/>
    <n v="686.35511999999994"/>
    <n v="68472.888000000006"/>
    <n v="2260.8537652800001"/>
    <n v="152092.17646127997"/>
    <n v="1474147.8235387295"/>
  </r>
  <r>
    <x v="18"/>
    <s v="MIDCPNIFTY"/>
    <x v="18"/>
    <s v="LONG"/>
    <s v="FUT"/>
    <n v="27240"/>
    <n v="13667.55"/>
    <n v="13120.95"/>
    <n v="-546.59999999999854"/>
    <n v="-14889383.999999961"/>
    <n v="357414678"/>
    <n v="372304062"/>
    <n v="729718740"/>
    <n v="71482.935599999997"/>
    <n v="12624.134202000001"/>
    <n v="729.71873999999991"/>
    <n v="74460.81240000001"/>
    <n v="2403.6935295600001"/>
    <n v="161701.29447155999"/>
    <n v="-15051085.294471521"/>
  </r>
  <r>
    <x v="18"/>
    <s v="NIFTY"/>
    <x v="18"/>
    <s v="SHORT"/>
    <s v="FUT"/>
    <n v="13200"/>
    <n v="26117.5"/>
    <n v="25174"/>
    <n v="943.5"/>
    <n v="12454200"/>
    <n v="344751000"/>
    <n v="332296800"/>
    <n v="677047800"/>
    <n v="68950.2"/>
    <n v="11712.926939999999"/>
    <n v="677.04779999999994"/>
    <n v="66459.360000000001"/>
    <n v="2230.1954532"/>
    <n v="150029.7301932"/>
    <n v="12304170.2698068"/>
  </r>
  <r>
    <x v="19"/>
    <s v="MIDCPNIFTY"/>
    <x v="19"/>
    <s v="LONG"/>
    <s v="FUT"/>
    <n v="27240"/>
    <n v="13191.85"/>
    <n v="13441.4"/>
    <n v="249.54999999999927"/>
    <n v="6797741.9999999804"/>
    <n v="366143736"/>
    <n v="359345994"/>
    <n v="725489730"/>
    <n v="73228.747199999998"/>
    <n v="12550.972329"/>
    <n v="725.48973000000001"/>
    <n v="71869.198799999998"/>
    <n v="2389.76317062"/>
    <n v="160764.17122961997"/>
    <n v="6636977.8287703609"/>
  </r>
  <r>
    <x v="19"/>
    <s v="NIFTY"/>
    <x v="19"/>
    <s v="SHORT"/>
    <s v="FUT"/>
    <n v="13200"/>
    <n v="25375.8"/>
    <n v="25417.5"/>
    <n v="-41.700000000000728"/>
    <n v="-550440.00000000955"/>
    <n v="334960560"/>
    <n v="335511000"/>
    <n v="670471560"/>
    <n v="66992.112000000008"/>
    <n v="11599.157988000001"/>
    <n v="670.47155999999995"/>
    <n v="67102.2"/>
    <n v="2208.5333186400003"/>
    <n v="148572.47486664003"/>
    <n v="-699012.4748666496"/>
  </r>
  <r>
    <x v="20"/>
    <s v="MIDCPNIFTY"/>
    <x v="20"/>
    <s v="LONG"/>
    <s v="FUT"/>
    <n v="27240"/>
    <n v="13490.5"/>
    <n v="12164.3"/>
    <n v="-1326.2000000000007"/>
    <n v="-36125688.000000022"/>
    <n v="331355532"/>
    <n v="367481220"/>
    <n v="698836752"/>
    <n v="66271.106400000004"/>
    <n v="12089.8758096"/>
    <n v="698.83675199999993"/>
    <n v="73496.244000000006"/>
    <n v="2301.968261088"/>
    <n v="154858.03122268803"/>
    <n v="-36280546.031222709"/>
  </r>
  <r>
    <x v="20"/>
    <s v="NIFTY"/>
    <x v="20"/>
    <s v="SHORT"/>
    <s v="FUT"/>
    <n v="13200"/>
    <n v="25588.2"/>
    <n v="22324"/>
    <n v="3264.2000000000007"/>
    <n v="43087440.000000007"/>
    <n v="337764240"/>
    <n v="294676800"/>
    <n v="632441040"/>
    <n v="67552.847999999998"/>
    <n v="10941.229992"/>
    <n v="632.44103999999993"/>
    <n v="58935.360000000001"/>
    <n v="2083.2607857600001"/>
    <n v="140145.13981776003"/>
    <n v="42947294.860182248"/>
  </r>
  <r>
    <x v="21"/>
    <s v="MIDCPNIFTY"/>
    <x v="21"/>
    <s v="LONG"/>
    <s v="FUT"/>
    <n v="27240"/>
    <n v="12160.65"/>
    <n v="13970"/>
    <n v="1809.3500000000004"/>
    <n v="49286694.000000007"/>
    <n v="380542800"/>
    <n v="331256106"/>
    <n v="711798906"/>
    <n v="190271.4"/>
    <n v="12314.121073800001"/>
    <n v="711.79890599999999"/>
    <n v="66251.2212"/>
    <n v="2344.6655963640001"/>
    <n v="271893.20677616401"/>
    <n v="49014800.793223843"/>
  </r>
  <r>
    <x v="21"/>
    <s v="NIFTY"/>
    <x v="21"/>
    <s v="SHORT"/>
    <s v="FUT"/>
    <n v="13200"/>
    <n v="22419.4"/>
    <n v="23977.1"/>
    <n v="-1557.6999999999971"/>
    <n v="-20561639.999999963"/>
    <n v="295936080"/>
    <n v="316497720"/>
    <n v="612433800"/>
    <n v="147968.04"/>
    <n v="10595.104740000001"/>
    <n v="612.43380000000002"/>
    <n v="63299.544000000002"/>
    <n v="2017.3569372000002"/>
    <n v="224492.47947720002"/>
    <n v="-20786132.479477163"/>
  </r>
  <r>
    <x v="22"/>
    <s v="MIDCPNIFTY"/>
    <x v="22"/>
    <s v="LONG"/>
    <s v="FUT"/>
    <n v="27240"/>
    <n v="14010"/>
    <n v="14676.6"/>
    <n v="666.60000000000036"/>
    <n v="18158184.000000011"/>
    <n v="399790584"/>
    <n v="381632400"/>
    <n v="781422984"/>
    <n v="199895.29200000002"/>
    <n v="13518.6176232"/>
    <n v="781.42298399999993"/>
    <n v="76326.48000000001"/>
    <n v="2574.0073092960001"/>
    <n v="293095.819916496"/>
    <n v="17865088.180083517"/>
  </r>
  <r>
    <x v="22"/>
    <s v="NIFTY"/>
    <x v="22"/>
    <s v="SHORT"/>
    <s v="FUT"/>
    <n v="13200"/>
    <n v="24052.799999999999"/>
    <n v="23915"/>
    <n v="137.79999999999927"/>
    <n v="1818959.9999999905"/>
    <n v="317496960"/>
    <n v="315678000"/>
    <n v="633174960"/>
    <n v="158748.48000000001"/>
    <n v="10953.926808"/>
    <n v="633.17495999999994"/>
    <n v="63135.600000000006"/>
    <n v="2085.67831824"/>
    <n v="235556.86008624002"/>
    <n v="1583403.1399137503"/>
  </r>
  <r>
    <x v="23"/>
    <s v="MIDCPNIFTY"/>
    <x v="23"/>
    <s v="LONG"/>
    <s v="FUT"/>
    <n v="27240"/>
    <n v="14777"/>
    <n v="14426.35"/>
    <n v="-350.64999999999964"/>
    <n v="-9551705.9999999907"/>
    <n v="392973774"/>
    <n v="402525480"/>
    <n v="795499254"/>
    <n v="196486.88700000002"/>
    <n v="13762.137094199999"/>
    <n v="795.49925399999995"/>
    <n v="80505.096000000005"/>
    <n v="2620.3745426759997"/>
    <n v="294169.99389087607"/>
    <n v="-9845875.9938908666"/>
  </r>
  <r>
    <x v="23"/>
    <s v="NIFTY"/>
    <x v="23"/>
    <s v="SHORT"/>
    <s v="FUT"/>
    <n v="13200"/>
    <n v="23978"/>
    <n v="23865.75"/>
    <n v="112.25"/>
    <n v="1481700"/>
    <n v="316509600"/>
    <n v="315027900"/>
    <n v="631537500"/>
    <n v="158254.80000000002"/>
    <n v="10925.598750000001"/>
    <n v="631.53750000000002"/>
    <n v="63005.58"/>
    <n v="2080.284525"/>
    <n v="234897.80077500004"/>
    <n v="1246802.1992249999"/>
  </r>
  <r>
    <x v="24"/>
    <s v="MIDCPNIFTY"/>
    <x v="24"/>
    <s v="LONG"/>
    <s v="FUT"/>
    <n v="27240"/>
    <n v="14511.15"/>
    <n v="14686.8"/>
    <n v="175.64999999999964"/>
    <n v="4784705.9999999898"/>
    <n v="400068432"/>
    <n v="395283726"/>
    <n v="795352158"/>
    <n v="200034.21600000001"/>
    <n v="13759.5923334"/>
    <n v="795.35215799999992"/>
    <n v="79056.745200000005"/>
    <n v="2619.8900084519996"/>
    <n v="296265.79569985205"/>
    <n v="4488440.2043001372"/>
  </r>
  <r>
    <x v="24"/>
    <s v="NIFTY"/>
    <x v="24"/>
    <s v="SHORT"/>
    <s v="FUT"/>
    <n v="13200"/>
    <n v="24009.1"/>
    <n v="23999.3"/>
    <n v="9.7999999999992724"/>
    <n v="129359.9999999904"/>
    <n v="316920120"/>
    <n v="316790760"/>
    <n v="633710880"/>
    <n v="158460.06"/>
    <n v="10963.198224"/>
    <n v="633.71087999999997"/>
    <n v="63358.152000000002"/>
    <n v="2087.4436387199999"/>
    <n v="235502.56474271999"/>
    <n v="-106142.56474272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:AE10" firstHeaderRow="1" firstDataRow="2" firstDataCol="1"/>
  <pivotFields count="21">
    <pivotField numFmtId="14" showAll="0">
      <items count="25">
        <item x="0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1"/>
        <item x="3"/>
        <item x="5"/>
        <item x="19"/>
        <item t="default"/>
      </items>
    </pivotField>
    <pivotField showAll="0"/>
    <pivotField numFmtId="14" showAll="0">
      <items count="25">
        <item x="1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axis="axisRow" showAll="0">
      <items count="6">
        <item sd="0" x="1"/>
        <item sd="0" x="2"/>
        <item sd="0" x="3"/>
        <item sd="0" x="4"/>
        <item x="0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1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4" baseField="0" baseItem="0" numFmtId="164"/>
  </dataFields>
  <formats count="3">
    <format dxfId="10">
      <pivotArea outline="0" collapsedLevelsAreSubtotals="1" fieldPosition="0"/>
    </format>
    <format dxfId="9">
      <pivotArea dataOnly="0" labelOnly="1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">
      <pivotArea dataOnly="0" labelOnly="1" grandCol="1" outline="0" fieldPosition="0"/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W5:AJ10" firstHeaderRow="1" firstDataRow="2" firstDataCol="1"/>
  <pivotFields count="26">
    <pivotField numFmtId="14" showAll="0">
      <items count="26">
        <item x="0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1"/>
        <item x="3"/>
        <item x="5"/>
        <item x="19"/>
        <item x="24"/>
        <item t="default"/>
      </items>
    </pivotField>
    <pivotField showAll="0"/>
    <pivotField numFmtId="14" showAll="0">
      <items count="26">
        <item x="1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2"/>
        <item x="4"/>
        <item x="2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2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9" baseField="0" baseItem="0" numFmtId="164"/>
  </dataFields>
  <formats count="3">
    <format dxfId="5">
      <pivotArea outline="0" collapsedLevelsAreSubtotals="1" fieldPosition="0"/>
    </format>
    <format dxfId="4">
      <pivotArea dataOnly="0" labelOnly="1" fieldPosition="0">
        <references count="1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dataOnly="0" labelOnly="1" grandCol="1" outline="0" fieldPosition="0"/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0.42578125" bestFit="1" customWidth="1"/>
    <col min="4" max="4" width="13.5703125" customWidth="1"/>
    <col min="5" max="5" width="15.140625" customWidth="1"/>
    <col min="6" max="6" width="12" customWidth="1"/>
    <col min="7" max="7" width="13.7109375" customWidth="1"/>
    <col min="8" max="8" width="12" customWidth="1"/>
    <col min="9" max="9" width="8.140625" bestFit="1" customWidth="1"/>
    <col min="10" max="10" width="14.7109375" customWidth="1"/>
    <col min="11" max="12" width="12.42578125" bestFit="1" customWidth="1"/>
    <col min="13" max="13" width="16.5703125" customWidth="1"/>
    <col min="14" max="14" width="17.140625" customWidth="1"/>
    <col min="15" max="15" width="12.140625" bestFit="1" customWidth="1"/>
    <col min="18" max="18" width="16.42578125" bestFit="1" customWidth="1"/>
    <col min="19" max="19" width="16.28515625" bestFit="1" customWidth="1"/>
    <col min="20" max="21" width="7.42578125" bestFit="1" customWidth="1"/>
    <col min="22" max="23" width="9" bestFit="1" customWidth="1"/>
    <col min="24" max="24" width="8.140625" bestFit="1" customWidth="1"/>
    <col min="25" max="25" width="7.140625" bestFit="1" customWidth="1"/>
    <col min="26" max="26" width="8.140625" bestFit="1" customWidth="1"/>
    <col min="27" max="27" width="6.42578125" bestFit="1" customWidth="1"/>
    <col min="28" max="29" width="7.42578125" bestFit="1" customWidth="1"/>
    <col min="30" max="30" width="8.140625" bestFit="1" customWidth="1"/>
    <col min="31" max="31" width="11.28515625" bestFit="1" customWidth="1"/>
  </cols>
  <sheetData>
    <row r="1" spans="1:3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</v>
      </c>
      <c r="N1" s="5" t="s">
        <v>17</v>
      </c>
      <c r="O1" s="5" t="s">
        <v>12</v>
      </c>
    </row>
    <row r="2" spans="1:31" x14ac:dyDescent="0.25">
      <c r="A2" s="7">
        <v>45561</v>
      </c>
      <c r="B2" s="8" t="s">
        <v>14</v>
      </c>
      <c r="C2" s="7">
        <v>45593</v>
      </c>
      <c r="D2" s="8" t="s">
        <v>13</v>
      </c>
      <c r="E2" s="8" t="s">
        <v>18</v>
      </c>
      <c r="F2" s="8">
        <v>50</v>
      </c>
      <c r="G2" s="8">
        <v>13337.1</v>
      </c>
      <c r="H2" s="8">
        <v>12402.65</v>
      </c>
      <c r="I2" s="6">
        <f t="shared" ref="I2:I43" si="0">IF(D2="Short",G2-H2,H2-G2)</f>
        <v>-934.45000000000073</v>
      </c>
      <c r="J2" s="6">
        <f t="shared" ref="J2:J43" si="1">I2*F2</f>
        <v>-46722.500000000036</v>
      </c>
      <c r="K2" s="6">
        <f t="shared" ref="K2:K43" si="2">IF(D2="Short",F2*G2,F2*H2)</f>
        <v>620132.5</v>
      </c>
      <c r="L2" s="6">
        <f t="shared" ref="L2:L43" si="3">IF(D2="Short",F2*H2,G2*F2)</f>
        <v>666855</v>
      </c>
      <c r="M2" s="6">
        <f t="shared" ref="M2:M43" si="4">K2+L2</f>
        <v>1286987.5</v>
      </c>
      <c r="N2" s="6">
        <f t="shared" ref="N2:N43" si="5">M2*0.000134</f>
        <v>172.45632499999999</v>
      </c>
      <c r="O2" s="6">
        <f t="shared" ref="O2:O43" si="6">J2-N2</f>
        <v>-46894.956325000036</v>
      </c>
    </row>
    <row r="3" spans="1:31" x14ac:dyDescent="0.25">
      <c r="A3" s="7">
        <v>45561</v>
      </c>
      <c r="B3" s="8" t="s">
        <v>19</v>
      </c>
      <c r="C3" s="7">
        <v>45596</v>
      </c>
      <c r="D3" s="8" t="s">
        <v>15</v>
      </c>
      <c r="E3" s="8" t="s">
        <v>18</v>
      </c>
      <c r="F3" s="8">
        <v>25</v>
      </c>
      <c r="G3" s="8">
        <v>26308.55</v>
      </c>
      <c r="H3" s="8">
        <v>24209</v>
      </c>
      <c r="I3" s="6">
        <f t="shared" si="0"/>
        <v>2099.5499999999993</v>
      </c>
      <c r="J3" s="6">
        <f t="shared" si="1"/>
        <v>52488.749999999985</v>
      </c>
      <c r="K3" s="6">
        <f t="shared" si="2"/>
        <v>657713.75</v>
      </c>
      <c r="L3" s="6">
        <f t="shared" si="3"/>
        <v>605225</v>
      </c>
      <c r="M3" s="6">
        <f t="shared" si="4"/>
        <v>1262938.75</v>
      </c>
      <c r="N3" s="6">
        <f t="shared" si="5"/>
        <v>169.23379249999999</v>
      </c>
      <c r="O3" s="6">
        <f t="shared" si="6"/>
        <v>52319.516207499983</v>
      </c>
    </row>
    <row r="4" spans="1:31" x14ac:dyDescent="0.25">
      <c r="A4" s="7">
        <v>45593</v>
      </c>
      <c r="B4" s="8" t="s">
        <v>14</v>
      </c>
      <c r="C4" s="7">
        <v>45621</v>
      </c>
      <c r="D4" s="8" t="s">
        <v>13</v>
      </c>
      <c r="E4" s="8" t="s">
        <v>18</v>
      </c>
      <c r="F4" s="8">
        <v>50</v>
      </c>
      <c r="G4" s="8">
        <v>12454.45</v>
      </c>
      <c r="H4" s="8">
        <v>12573.65</v>
      </c>
      <c r="I4" s="6">
        <f t="shared" si="0"/>
        <v>119.19999999999891</v>
      </c>
      <c r="J4" s="6">
        <f t="shared" si="1"/>
        <v>5959.9999999999454</v>
      </c>
      <c r="K4" s="6">
        <f t="shared" si="2"/>
        <v>628682.5</v>
      </c>
      <c r="L4" s="6">
        <f t="shared" si="3"/>
        <v>622722.5</v>
      </c>
      <c r="M4" s="6">
        <f t="shared" si="4"/>
        <v>1251405</v>
      </c>
      <c r="N4" s="6">
        <f t="shared" si="5"/>
        <v>167.68827000000002</v>
      </c>
      <c r="O4" s="6">
        <f t="shared" si="6"/>
        <v>5792.3117299999458</v>
      </c>
    </row>
    <row r="5" spans="1:31" x14ac:dyDescent="0.25">
      <c r="A5" s="7">
        <v>45596</v>
      </c>
      <c r="B5" s="8" t="s">
        <v>19</v>
      </c>
      <c r="C5" s="7">
        <v>45624</v>
      </c>
      <c r="D5" s="8" t="s">
        <v>15</v>
      </c>
      <c r="E5" s="8" t="s">
        <v>18</v>
      </c>
      <c r="F5" s="8">
        <v>25</v>
      </c>
      <c r="G5" s="8">
        <v>24398.3</v>
      </c>
      <c r="H5" s="8">
        <v>23901.55</v>
      </c>
      <c r="I5" s="6">
        <f t="shared" si="0"/>
        <v>496.75</v>
      </c>
      <c r="J5" s="6">
        <f t="shared" si="1"/>
        <v>12418.75</v>
      </c>
      <c r="K5" s="6">
        <f t="shared" si="2"/>
        <v>609957.5</v>
      </c>
      <c r="L5" s="6">
        <f t="shared" si="3"/>
        <v>597538.75</v>
      </c>
      <c r="M5" s="6">
        <f t="shared" si="4"/>
        <v>1207496.25</v>
      </c>
      <c r="N5" s="6">
        <f t="shared" si="5"/>
        <v>161.8044975</v>
      </c>
      <c r="O5" s="6">
        <f t="shared" si="6"/>
        <v>12256.945502500001</v>
      </c>
      <c r="R5" s="1" t="s">
        <v>38</v>
      </c>
      <c r="S5" s="1" t="s">
        <v>25</v>
      </c>
    </row>
    <row r="6" spans="1:31" x14ac:dyDescent="0.25">
      <c r="A6" s="7">
        <v>45621</v>
      </c>
      <c r="B6" s="8" t="s">
        <v>14</v>
      </c>
      <c r="C6" s="7">
        <v>45656</v>
      </c>
      <c r="D6" s="8" t="s">
        <v>13</v>
      </c>
      <c r="E6" s="8" t="s">
        <v>18</v>
      </c>
      <c r="F6" s="8">
        <v>50</v>
      </c>
      <c r="G6" s="8">
        <v>12660</v>
      </c>
      <c r="H6" s="8">
        <v>12993</v>
      </c>
      <c r="I6" s="6">
        <f t="shared" si="0"/>
        <v>333</v>
      </c>
      <c r="J6" s="6">
        <f t="shared" si="1"/>
        <v>16650</v>
      </c>
      <c r="K6" s="6">
        <f t="shared" si="2"/>
        <v>649650</v>
      </c>
      <c r="L6" s="6">
        <f t="shared" si="3"/>
        <v>633000</v>
      </c>
      <c r="M6" s="6">
        <f t="shared" si="4"/>
        <v>1282650</v>
      </c>
      <c r="N6" s="6">
        <f t="shared" si="5"/>
        <v>171.8751</v>
      </c>
      <c r="O6" s="6">
        <f t="shared" si="6"/>
        <v>16478.124899999999</v>
      </c>
      <c r="R6" s="1" t="s">
        <v>20</v>
      </c>
      <c r="S6" s="3" t="s">
        <v>26</v>
      </c>
      <c r="T6" s="3" t="s">
        <v>27</v>
      </c>
      <c r="U6" s="3" t="s">
        <v>28</v>
      </c>
      <c r="V6" s="3" t="s">
        <v>29</v>
      </c>
      <c r="W6" s="3" t="s">
        <v>30</v>
      </c>
      <c r="X6" s="3" t="s">
        <v>31</v>
      </c>
      <c r="Y6" s="3" t="s">
        <v>32</v>
      </c>
      <c r="Z6" s="3" t="s">
        <v>33</v>
      </c>
      <c r="AA6" s="3" t="s">
        <v>34</v>
      </c>
      <c r="AB6" s="3" t="s">
        <v>35</v>
      </c>
      <c r="AC6" s="3" t="s">
        <v>36</v>
      </c>
      <c r="AD6" s="3" t="s">
        <v>37</v>
      </c>
      <c r="AE6" s="3" t="s">
        <v>21</v>
      </c>
    </row>
    <row r="7" spans="1:31" x14ac:dyDescent="0.25">
      <c r="A7" s="7">
        <v>45624</v>
      </c>
      <c r="B7" s="8" t="s">
        <v>19</v>
      </c>
      <c r="C7" s="7">
        <v>45652</v>
      </c>
      <c r="D7" s="8" t="s">
        <v>15</v>
      </c>
      <c r="E7" s="8" t="s">
        <v>18</v>
      </c>
      <c r="F7" s="8">
        <v>25</v>
      </c>
      <c r="G7" s="8">
        <v>24111.85</v>
      </c>
      <c r="H7" s="8">
        <v>23749.8</v>
      </c>
      <c r="I7" s="6">
        <f t="shared" si="0"/>
        <v>362.04999999999927</v>
      </c>
      <c r="J7" s="6">
        <f t="shared" si="1"/>
        <v>9051.2499999999818</v>
      </c>
      <c r="K7" s="6">
        <f t="shared" si="2"/>
        <v>602796.25</v>
      </c>
      <c r="L7" s="6">
        <f t="shared" si="3"/>
        <v>593745</v>
      </c>
      <c r="M7" s="6">
        <f t="shared" si="4"/>
        <v>1196541.25</v>
      </c>
      <c r="N7" s="6">
        <f t="shared" si="5"/>
        <v>160.33652750000002</v>
      </c>
      <c r="O7" s="6">
        <f t="shared" si="6"/>
        <v>8890.9134724999822</v>
      </c>
      <c r="R7" s="2" t="s">
        <v>22</v>
      </c>
      <c r="S7" s="4"/>
      <c r="T7" s="4"/>
      <c r="U7" s="4"/>
      <c r="V7" s="4"/>
      <c r="W7" s="4"/>
      <c r="X7" s="4"/>
      <c r="Y7" s="4"/>
      <c r="Z7" s="4"/>
      <c r="AA7" s="4"/>
      <c r="AB7" s="4">
        <v>5424.559882499947</v>
      </c>
      <c r="AC7" s="4">
        <v>18049.257232499946</v>
      </c>
      <c r="AD7" s="4">
        <v>25369.038372499981</v>
      </c>
      <c r="AE7" s="4">
        <v>48842.855487499874</v>
      </c>
    </row>
    <row r="8" spans="1:31" x14ac:dyDescent="0.25">
      <c r="A8" s="7">
        <v>45656</v>
      </c>
      <c r="B8" s="8" t="s">
        <v>14</v>
      </c>
      <c r="C8" s="7">
        <v>45687</v>
      </c>
      <c r="D8" s="8" t="s">
        <v>15</v>
      </c>
      <c r="E8" s="8" t="s">
        <v>18</v>
      </c>
      <c r="F8" s="8">
        <v>50</v>
      </c>
      <c r="G8" s="8">
        <v>12997.05</v>
      </c>
      <c r="H8" s="8">
        <v>11800.65</v>
      </c>
      <c r="I8" s="6">
        <f t="shared" si="0"/>
        <v>1196.3999999999996</v>
      </c>
      <c r="J8" s="6">
        <f t="shared" si="1"/>
        <v>59819.999999999985</v>
      </c>
      <c r="K8" s="6">
        <f t="shared" si="2"/>
        <v>649852.5</v>
      </c>
      <c r="L8" s="6">
        <f t="shared" si="3"/>
        <v>590032.5</v>
      </c>
      <c r="M8" s="6">
        <f t="shared" si="4"/>
        <v>1239885</v>
      </c>
      <c r="N8" s="6">
        <f t="shared" si="5"/>
        <v>166.14458999999999</v>
      </c>
      <c r="O8" s="6">
        <f t="shared" si="6"/>
        <v>59653.855409999982</v>
      </c>
      <c r="R8" s="2" t="s">
        <v>23</v>
      </c>
      <c r="S8" s="4">
        <v>68403.613802499996</v>
      </c>
      <c r="T8" s="4">
        <v>40479.137851500192</v>
      </c>
      <c r="U8" s="4">
        <v>-8541.9486599997763</v>
      </c>
      <c r="V8" s="4">
        <v>35789.673172499948</v>
      </c>
      <c r="W8" s="4">
        <v>16907.454663000186</v>
      </c>
      <c r="X8" s="4">
        <v>14862.087294000194</v>
      </c>
      <c r="Y8" s="4">
        <v>-9808.7387160002181</v>
      </c>
      <c r="Z8" s="4">
        <v>-26026.416333999739</v>
      </c>
      <c r="AA8" s="4">
        <v>3203.4102539998403</v>
      </c>
      <c r="AB8" s="4">
        <v>9720.0427720001608</v>
      </c>
      <c r="AC8" s="4">
        <v>65916.743398999737</v>
      </c>
      <c r="AD8" s="4">
        <v>-34050.499597999849</v>
      </c>
      <c r="AE8" s="4">
        <v>176854.55990050067</v>
      </c>
    </row>
    <row r="9" spans="1:31" x14ac:dyDescent="0.25">
      <c r="A9" s="7">
        <v>45652</v>
      </c>
      <c r="B9" s="8" t="s">
        <v>19</v>
      </c>
      <c r="C9" s="7">
        <v>45687</v>
      </c>
      <c r="D9" s="8" t="s">
        <v>13</v>
      </c>
      <c r="E9" s="8" t="s">
        <v>18</v>
      </c>
      <c r="F9" s="8">
        <v>25</v>
      </c>
      <c r="G9" s="8">
        <v>23925</v>
      </c>
      <c r="H9" s="8">
        <v>24281.45</v>
      </c>
      <c r="I9" s="6">
        <f t="shared" si="0"/>
        <v>356.45000000000073</v>
      </c>
      <c r="J9" s="6">
        <f t="shared" si="1"/>
        <v>8911.2500000000182</v>
      </c>
      <c r="K9" s="6">
        <f t="shared" si="2"/>
        <v>607036.25</v>
      </c>
      <c r="L9" s="6">
        <f t="shared" si="3"/>
        <v>598125</v>
      </c>
      <c r="M9" s="6">
        <f t="shared" si="4"/>
        <v>1205161.25</v>
      </c>
      <c r="N9" s="6">
        <f t="shared" si="5"/>
        <v>161.49160750000001</v>
      </c>
      <c r="O9" s="6">
        <f t="shared" si="6"/>
        <v>8749.7583925000181</v>
      </c>
      <c r="R9" s="2" t="s">
        <v>24</v>
      </c>
      <c r="S9" s="4">
        <v>-5142.0080449998277</v>
      </c>
      <c r="T9" s="4">
        <v>26364.827696999866</v>
      </c>
      <c r="U9" s="4">
        <v>52199.155553999968</v>
      </c>
      <c r="V9" s="4">
        <v>115047.20563300025</v>
      </c>
      <c r="W9" s="4">
        <v>88069.91993399999</v>
      </c>
      <c r="X9" s="4">
        <v>-33354.846429999998</v>
      </c>
      <c r="Y9" s="4"/>
      <c r="Z9" s="4"/>
      <c r="AA9" s="4"/>
      <c r="AB9" s="4"/>
      <c r="AC9" s="4"/>
      <c r="AD9" s="4"/>
      <c r="AE9" s="4">
        <v>243184.25434300027</v>
      </c>
    </row>
    <row r="10" spans="1:31" x14ac:dyDescent="0.25">
      <c r="A10" s="7">
        <v>45687</v>
      </c>
      <c r="B10" s="8" t="s">
        <v>14</v>
      </c>
      <c r="C10" s="7">
        <v>45715</v>
      </c>
      <c r="D10" s="8" t="s">
        <v>15</v>
      </c>
      <c r="E10" s="8" t="s">
        <v>18</v>
      </c>
      <c r="F10" s="8">
        <v>120</v>
      </c>
      <c r="G10" s="8">
        <v>11845.7</v>
      </c>
      <c r="H10" s="8">
        <v>10965</v>
      </c>
      <c r="I10" s="6">
        <f t="shared" si="0"/>
        <v>880.70000000000073</v>
      </c>
      <c r="J10" s="6">
        <f t="shared" si="1"/>
        <v>105684.00000000009</v>
      </c>
      <c r="K10" s="6">
        <f t="shared" si="2"/>
        <v>1421484</v>
      </c>
      <c r="L10" s="6">
        <f t="shared" si="3"/>
        <v>1315800</v>
      </c>
      <c r="M10" s="6">
        <f t="shared" si="4"/>
        <v>2737284</v>
      </c>
      <c r="N10" s="6">
        <f t="shared" si="5"/>
        <v>366.79605600000002</v>
      </c>
      <c r="O10" s="6">
        <f t="shared" si="6"/>
        <v>105317.20394400008</v>
      </c>
      <c r="R10" s="2" t="s">
        <v>21</v>
      </c>
      <c r="S10" s="4">
        <v>63261.605757500169</v>
      </c>
      <c r="T10" s="4">
        <v>66843.965548500055</v>
      </c>
      <c r="U10" s="4">
        <v>43657.206894000192</v>
      </c>
      <c r="V10" s="4">
        <v>150836.87880550019</v>
      </c>
      <c r="W10" s="4">
        <v>104977.37459700018</v>
      </c>
      <c r="X10" s="4">
        <v>-18492.759135999804</v>
      </c>
      <c r="Y10" s="4">
        <v>-9808.7387160002181</v>
      </c>
      <c r="Z10" s="4">
        <v>-26026.416333999739</v>
      </c>
      <c r="AA10" s="4">
        <v>3203.4102539998403</v>
      </c>
      <c r="AB10" s="4">
        <v>15144.602654500108</v>
      </c>
      <c r="AC10" s="4">
        <v>83966.000631499686</v>
      </c>
      <c r="AD10" s="4">
        <v>-8681.4612254998683</v>
      </c>
      <c r="AE10" s="4">
        <v>468881.66973100079</v>
      </c>
    </row>
    <row r="11" spans="1:31" x14ac:dyDescent="0.25">
      <c r="A11" s="7">
        <v>45687</v>
      </c>
      <c r="B11" s="8" t="s">
        <v>19</v>
      </c>
      <c r="C11" s="7">
        <v>45715</v>
      </c>
      <c r="D11" s="8" t="s">
        <v>13</v>
      </c>
      <c r="E11" s="8" t="s">
        <v>18</v>
      </c>
      <c r="F11" s="8">
        <v>75</v>
      </c>
      <c r="G11" s="8">
        <v>23405.1</v>
      </c>
      <c r="H11" s="8">
        <v>22546.75</v>
      </c>
      <c r="I11" s="6">
        <f t="shared" si="0"/>
        <v>-858.34999999999854</v>
      </c>
      <c r="J11" s="6">
        <f t="shared" si="1"/>
        <v>-64376.249999999891</v>
      </c>
      <c r="K11" s="6">
        <f t="shared" si="2"/>
        <v>1691006.25</v>
      </c>
      <c r="L11" s="6">
        <f t="shared" si="3"/>
        <v>1755382.5</v>
      </c>
      <c r="M11" s="6">
        <f t="shared" si="4"/>
        <v>3446388.75</v>
      </c>
      <c r="N11" s="6">
        <f t="shared" si="5"/>
        <v>461.81609250000002</v>
      </c>
      <c r="O11" s="6">
        <f t="shared" si="6"/>
        <v>-64838.066092499888</v>
      </c>
    </row>
    <row r="12" spans="1:31" x14ac:dyDescent="0.25">
      <c r="A12" s="7">
        <v>45715</v>
      </c>
      <c r="B12" s="8" t="s">
        <v>14</v>
      </c>
      <c r="C12" s="7">
        <v>45743</v>
      </c>
      <c r="D12" s="8" t="s">
        <v>13</v>
      </c>
      <c r="E12" s="8" t="s">
        <v>18</v>
      </c>
      <c r="F12" s="8">
        <v>120</v>
      </c>
      <c r="G12" s="8">
        <v>11017.05</v>
      </c>
      <c r="H12" s="8">
        <v>11517.95</v>
      </c>
      <c r="I12" s="6">
        <f t="shared" si="0"/>
        <v>500.90000000000146</v>
      </c>
      <c r="J12" s="6">
        <f t="shared" si="1"/>
        <v>60108.000000000175</v>
      </c>
      <c r="K12" s="6">
        <f t="shared" si="2"/>
        <v>1382154</v>
      </c>
      <c r="L12" s="6">
        <f t="shared" si="3"/>
        <v>1322046</v>
      </c>
      <c r="M12" s="6">
        <f t="shared" si="4"/>
        <v>2704200</v>
      </c>
      <c r="N12" s="6">
        <f t="shared" si="5"/>
        <v>362.36279999999999</v>
      </c>
      <c r="O12" s="6">
        <f t="shared" si="6"/>
        <v>59745.637200000172</v>
      </c>
    </row>
    <row r="13" spans="1:31" x14ac:dyDescent="0.25">
      <c r="A13" s="7">
        <v>45715</v>
      </c>
      <c r="B13" s="8" t="s">
        <v>19</v>
      </c>
      <c r="C13" s="7">
        <v>45743</v>
      </c>
      <c r="D13" s="8" t="s">
        <v>15</v>
      </c>
      <c r="E13" s="8" t="s">
        <v>18</v>
      </c>
      <c r="F13" s="8">
        <v>75</v>
      </c>
      <c r="G13" s="8">
        <v>22686.45</v>
      </c>
      <c r="H13" s="8">
        <v>23590.75</v>
      </c>
      <c r="I13" s="6">
        <f t="shared" si="0"/>
        <v>-904.29999999999927</v>
      </c>
      <c r="J13" s="6">
        <f t="shared" si="1"/>
        <v>-67822.499999999942</v>
      </c>
      <c r="K13" s="6">
        <f t="shared" si="2"/>
        <v>1701483.75</v>
      </c>
      <c r="L13" s="6">
        <f t="shared" si="3"/>
        <v>1769306.25</v>
      </c>
      <c r="M13" s="6">
        <f t="shared" si="4"/>
        <v>3470790</v>
      </c>
      <c r="N13" s="6">
        <f t="shared" si="5"/>
        <v>465.08586000000003</v>
      </c>
      <c r="O13" s="6">
        <f t="shared" si="6"/>
        <v>-68287.585859999948</v>
      </c>
    </row>
    <row r="14" spans="1:31" x14ac:dyDescent="0.25">
      <c r="A14" s="7">
        <v>45743</v>
      </c>
      <c r="B14" s="8" t="s">
        <v>14</v>
      </c>
      <c r="C14" s="7">
        <v>45771</v>
      </c>
      <c r="D14" s="8" t="s">
        <v>13</v>
      </c>
      <c r="E14" s="8" t="s">
        <v>18</v>
      </c>
      <c r="F14" s="8">
        <v>120</v>
      </c>
      <c r="G14" s="8">
        <v>11639</v>
      </c>
      <c r="H14" s="8">
        <v>12251</v>
      </c>
      <c r="I14" s="6">
        <f t="shared" si="0"/>
        <v>612</v>
      </c>
      <c r="J14" s="6">
        <f t="shared" si="1"/>
        <v>73440</v>
      </c>
      <c r="K14" s="6">
        <f t="shared" si="2"/>
        <v>1470120</v>
      </c>
      <c r="L14" s="6">
        <f t="shared" si="3"/>
        <v>1396680</v>
      </c>
      <c r="M14" s="6">
        <f t="shared" si="4"/>
        <v>2866800</v>
      </c>
      <c r="N14" s="6">
        <f t="shared" si="5"/>
        <v>384.15120000000002</v>
      </c>
      <c r="O14" s="6">
        <f t="shared" si="6"/>
        <v>73055.848800000007</v>
      </c>
    </row>
    <row r="15" spans="1:31" x14ac:dyDescent="0.25">
      <c r="A15" s="7">
        <v>45743</v>
      </c>
      <c r="B15" s="8" t="s">
        <v>19</v>
      </c>
      <c r="C15" s="7">
        <v>45771</v>
      </c>
      <c r="D15" s="8" t="s">
        <v>15</v>
      </c>
      <c r="E15" s="8" t="s">
        <v>18</v>
      </c>
      <c r="F15" s="8">
        <v>75</v>
      </c>
      <c r="G15" s="8">
        <v>23756.05</v>
      </c>
      <c r="H15" s="8">
        <v>24246.5</v>
      </c>
      <c r="I15" s="6">
        <f t="shared" si="0"/>
        <v>-490.45000000000073</v>
      </c>
      <c r="J15" s="6">
        <f t="shared" si="1"/>
        <v>-36783.750000000058</v>
      </c>
      <c r="K15" s="6">
        <f t="shared" si="2"/>
        <v>1781703.75</v>
      </c>
      <c r="L15" s="6">
        <f t="shared" si="3"/>
        <v>1818487.5</v>
      </c>
      <c r="M15" s="6">
        <f t="shared" si="4"/>
        <v>3600191.25</v>
      </c>
      <c r="N15" s="6">
        <f t="shared" si="5"/>
        <v>482.42562750000002</v>
      </c>
      <c r="O15" s="6">
        <f t="shared" si="6"/>
        <v>-37266.175627500059</v>
      </c>
    </row>
    <row r="16" spans="1:31" x14ac:dyDescent="0.25">
      <c r="A16" s="7">
        <v>45771</v>
      </c>
      <c r="B16" s="8" t="s">
        <v>14</v>
      </c>
      <c r="C16" s="7">
        <v>45806</v>
      </c>
      <c r="D16" s="8" t="s">
        <v>13</v>
      </c>
      <c r="E16" s="8" t="s">
        <v>18</v>
      </c>
      <c r="F16" s="8">
        <v>120</v>
      </c>
      <c r="G16" s="8">
        <v>12272.8</v>
      </c>
      <c r="H16" s="8">
        <v>12702.6</v>
      </c>
      <c r="I16" s="6">
        <f t="shared" si="0"/>
        <v>429.80000000000109</v>
      </c>
      <c r="J16" s="6">
        <f t="shared" si="1"/>
        <v>51576.000000000131</v>
      </c>
      <c r="K16" s="6">
        <f t="shared" si="2"/>
        <v>1524312</v>
      </c>
      <c r="L16" s="6">
        <f t="shared" si="3"/>
        <v>1472736</v>
      </c>
      <c r="M16" s="6">
        <f t="shared" si="4"/>
        <v>2997048</v>
      </c>
      <c r="N16" s="6">
        <f t="shared" si="5"/>
        <v>401.60443200000003</v>
      </c>
      <c r="O16" s="6">
        <f t="shared" si="6"/>
        <v>51174.395568000131</v>
      </c>
    </row>
    <row r="17" spans="1:15" x14ac:dyDescent="0.25">
      <c r="A17" s="7">
        <v>45771</v>
      </c>
      <c r="B17" s="8" t="s">
        <v>19</v>
      </c>
      <c r="C17" s="7">
        <v>45806</v>
      </c>
      <c r="D17" s="8" t="s">
        <v>15</v>
      </c>
      <c r="E17" s="8" t="s">
        <v>18</v>
      </c>
      <c r="F17" s="8">
        <v>75</v>
      </c>
      <c r="G17" s="8">
        <v>24373.9</v>
      </c>
      <c r="H17" s="8">
        <v>24824.2</v>
      </c>
      <c r="I17" s="6">
        <f t="shared" si="0"/>
        <v>-450.29999999999927</v>
      </c>
      <c r="J17" s="6">
        <f t="shared" si="1"/>
        <v>-33772.499999999942</v>
      </c>
      <c r="K17" s="6">
        <f t="shared" si="2"/>
        <v>1828042.5</v>
      </c>
      <c r="L17" s="6">
        <f t="shared" si="3"/>
        <v>1861815</v>
      </c>
      <c r="M17" s="6">
        <f t="shared" si="4"/>
        <v>3689857.5</v>
      </c>
      <c r="N17" s="6">
        <f t="shared" si="5"/>
        <v>494.44090500000004</v>
      </c>
      <c r="O17" s="6">
        <f t="shared" si="6"/>
        <v>-34266.940904999945</v>
      </c>
    </row>
    <row r="18" spans="1:15" x14ac:dyDescent="0.25">
      <c r="A18" s="7">
        <v>45806</v>
      </c>
      <c r="B18" s="8" t="s">
        <v>14</v>
      </c>
      <c r="C18" s="7">
        <v>45834</v>
      </c>
      <c r="D18" s="8" t="s">
        <v>13</v>
      </c>
      <c r="E18" s="8" t="s">
        <v>18</v>
      </c>
      <c r="F18" s="8">
        <v>120</v>
      </c>
      <c r="G18" s="8">
        <v>12790</v>
      </c>
      <c r="H18" s="8">
        <v>13300.7</v>
      </c>
      <c r="I18" s="6">
        <f t="shared" si="0"/>
        <v>510.70000000000073</v>
      </c>
      <c r="J18" s="6">
        <f t="shared" si="1"/>
        <v>61284.000000000087</v>
      </c>
      <c r="K18" s="6">
        <f t="shared" si="2"/>
        <v>1596084</v>
      </c>
      <c r="L18" s="6">
        <f t="shared" si="3"/>
        <v>1534800</v>
      </c>
      <c r="M18" s="6">
        <f t="shared" si="4"/>
        <v>3130884</v>
      </c>
      <c r="N18" s="6">
        <f t="shared" si="5"/>
        <v>419.538456</v>
      </c>
      <c r="O18" s="6">
        <f t="shared" si="6"/>
        <v>60864.461544000085</v>
      </c>
    </row>
    <row r="19" spans="1:15" x14ac:dyDescent="0.25">
      <c r="A19" s="7">
        <v>45806</v>
      </c>
      <c r="B19" s="8" t="s">
        <v>19</v>
      </c>
      <c r="C19" s="7">
        <v>45834</v>
      </c>
      <c r="D19" s="8" t="s">
        <v>15</v>
      </c>
      <c r="E19" s="8" t="s">
        <v>18</v>
      </c>
      <c r="F19" s="8">
        <v>75</v>
      </c>
      <c r="G19" s="8">
        <v>24939.200000000001</v>
      </c>
      <c r="H19" s="8">
        <v>25545.8</v>
      </c>
      <c r="I19" s="6">
        <f t="shared" si="0"/>
        <v>-606.59999999999854</v>
      </c>
      <c r="J19" s="6">
        <f t="shared" si="1"/>
        <v>-45494.999999999891</v>
      </c>
      <c r="K19" s="6">
        <f t="shared" si="2"/>
        <v>1870440</v>
      </c>
      <c r="L19" s="6">
        <f t="shared" si="3"/>
        <v>1915935</v>
      </c>
      <c r="M19" s="6">
        <f t="shared" si="4"/>
        <v>3786375</v>
      </c>
      <c r="N19" s="6">
        <f t="shared" si="5"/>
        <v>507.37425000000002</v>
      </c>
      <c r="O19" s="6">
        <f t="shared" si="6"/>
        <v>-46002.374249999892</v>
      </c>
    </row>
    <row r="20" spans="1:15" x14ac:dyDescent="0.25">
      <c r="A20" s="7">
        <v>45834</v>
      </c>
      <c r="B20" s="8" t="s">
        <v>14</v>
      </c>
      <c r="C20" s="7">
        <v>45869</v>
      </c>
      <c r="D20" s="8" t="s">
        <v>13</v>
      </c>
      <c r="E20" s="8" t="s">
        <v>18</v>
      </c>
      <c r="F20" s="8">
        <v>140</v>
      </c>
      <c r="G20" s="8">
        <v>13382.05</v>
      </c>
      <c r="H20" s="8">
        <v>12869.55</v>
      </c>
      <c r="I20" s="6">
        <f t="shared" si="0"/>
        <v>-512.5</v>
      </c>
      <c r="J20" s="6">
        <f t="shared" si="1"/>
        <v>-71750</v>
      </c>
      <c r="K20" s="6">
        <f t="shared" si="2"/>
        <v>1801737</v>
      </c>
      <c r="L20" s="6">
        <f t="shared" si="3"/>
        <v>1873487</v>
      </c>
      <c r="M20" s="6">
        <f t="shared" si="4"/>
        <v>3675224</v>
      </c>
      <c r="N20" s="6">
        <f t="shared" si="5"/>
        <v>492.48001600000003</v>
      </c>
      <c r="O20" s="6">
        <f t="shared" si="6"/>
        <v>-72242.480016000001</v>
      </c>
    </row>
    <row r="21" spans="1:15" x14ac:dyDescent="0.25">
      <c r="A21" s="7">
        <v>45834</v>
      </c>
      <c r="B21" s="8" t="s">
        <v>19</v>
      </c>
      <c r="C21" s="7">
        <v>45869</v>
      </c>
      <c r="D21" s="8" t="s">
        <v>15</v>
      </c>
      <c r="E21" s="8" t="s">
        <v>18</v>
      </c>
      <c r="F21" s="8">
        <v>75</v>
      </c>
      <c r="G21" s="8">
        <v>25606.6</v>
      </c>
      <c r="H21" s="8">
        <v>24767.4</v>
      </c>
      <c r="I21" s="6">
        <f t="shared" si="0"/>
        <v>839.19999999999709</v>
      </c>
      <c r="J21" s="6">
        <f t="shared" si="1"/>
        <v>62939.999999999782</v>
      </c>
      <c r="K21" s="6">
        <f t="shared" si="2"/>
        <v>1920495</v>
      </c>
      <c r="L21" s="6">
        <f t="shared" si="3"/>
        <v>1857555</v>
      </c>
      <c r="M21" s="6">
        <f t="shared" si="4"/>
        <v>3778050</v>
      </c>
      <c r="N21" s="6">
        <f t="shared" si="5"/>
        <v>506.25870000000003</v>
      </c>
      <c r="O21" s="6">
        <f t="shared" si="6"/>
        <v>62433.741299999783</v>
      </c>
    </row>
    <row r="22" spans="1:15" x14ac:dyDescent="0.25">
      <c r="A22" s="7">
        <v>45869</v>
      </c>
      <c r="B22" s="8" t="s">
        <v>14</v>
      </c>
      <c r="C22" s="7">
        <v>45897</v>
      </c>
      <c r="D22" s="8" t="s">
        <v>13</v>
      </c>
      <c r="E22" s="8" t="s">
        <v>18</v>
      </c>
      <c r="F22" s="8">
        <v>140</v>
      </c>
      <c r="G22" s="8">
        <v>12911.3</v>
      </c>
      <c r="H22" s="8">
        <v>12536.6</v>
      </c>
      <c r="I22" s="6">
        <f t="shared" si="0"/>
        <v>-374.69999999999891</v>
      </c>
      <c r="J22" s="6">
        <f t="shared" si="1"/>
        <v>-52457.999999999847</v>
      </c>
      <c r="K22" s="6">
        <f t="shared" si="2"/>
        <v>1755124</v>
      </c>
      <c r="L22" s="6">
        <f t="shared" si="3"/>
        <v>1807582</v>
      </c>
      <c r="M22" s="6">
        <f t="shared" si="4"/>
        <v>3562706</v>
      </c>
      <c r="N22" s="6">
        <f t="shared" si="5"/>
        <v>477.402604</v>
      </c>
      <c r="O22" s="6">
        <f t="shared" si="6"/>
        <v>-52935.40260399985</v>
      </c>
    </row>
    <row r="23" spans="1:15" x14ac:dyDescent="0.25">
      <c r="A23" s="7">
        <v>45869</v>
      </c>
      <c r="B23" s="8" t="s">
        <v>19</v>
      </c>
      <c r="C23" s="7">
        <v>45897</v>
      </c>
      <c r="D23" s="8" t="s">
        <v>15</v>
      </c>
      <c r="E23" s="8" t="s">
        <v>18</v>
      </c>
      <c r="F23" s="8">
        <v>75</v>
      </c>
      <c r="G23" s="8">
        <v>24860</v>
      </c>
      <c r="H23" s="8">
        <v>24494.6</v>
      </c>
      <c r="I23" s="6">
        <f t="shared" si="0"/>
        <v>365.40000000000146</v>
      </c>
      <c r="J23" s="6">
        <f t="shared" si="1"/>
        <v>27405.000000000109</v>
      </c>
      <c r="K23" s="6">
        <f t="shared" si="2"/>
        <v>1864500</v>
      </c>
      <c r="L23" s="6">
        <f t="shared" si="3"/>
        <v>1837095</v>
      </c>
      <c r="M23" s="6">
        <f t="shared" si="4"/>
        <v>3701595</v>
      </c>
      <c r="N23" s="6">
        <f t="shared" si="5"/>
        <v>496.01373000000001</v>
      </c>
      <c r="O23" s="6">
        <f t="shared" si="6"/>
        <v>26908.98627000011</v>
      </c>
    </row>
    <row r="24" spans="1:15" x14ac:dyDescent="0.25">
      <c r="A24" s="7">
        <v>45897</v>
      </c>
      <c r="B24" s="8" t="s">
        <v>14</v>
      </c>
      <c r="C24" s="7">
        <v>45930</v>
      </c>
      <c r="D24" s="8" t="s">
        <v>13</v>
      </c>
      <c r="E24" s="8" t="s">
        <v>18</v>
      </c>
      <c r="F24" s="8">
        <v>140</v>
      </c>
      <c r="G24" s="8">
        <v>12590.35</v>
      </c>
      <c r="H24" s="8">
        <v>12600</v>
      </c>
      <c r="I24" s="6">
        <f t="shared" si="0"/>
        <v>9.6499999999996362</v>
      </c>
      <c r="J24" s="6">
        <f t="shared" si="1"/>
        <v>1350.9999999999491</v>
      </c>
      <c r="K24" s="6">
        <f t="shared" si="2"/>
        <v>1764000</v>
      </c>
      <c r="L24" s="6">
        <f t="shared" si="3"/>
        <v>1762649</v>
      </c>
      <c r="M24" s="6">
        <f t="shared" si="4"/>
        <v>3526649</v>
      </c>
      <c r="N24" s="6">
        <f t="shared" si="5"/>
        <v>472.570966</v>
      </c>
      <c r="O24" s="6">
        <f t="shared" si="6"/>
        <v>878.42903399994907</v>
      </c>
    </row>
    <row r="25" spans="1:15" x14ac:dyDescent="0.25">
      <c r="A25" s="7">
        <v>45897</v>
      </c>
      <c r="B25" s="8" t="s">
        <v>19</v>
      </c>
      <c r="C25" s="7">
        <v>45930</v>
      </c>
      <c r="D25" s="8" t="s">
        <v>15</v>
      </c>
      <c r="E25" s="8" t="s">
        <v>18</v>
      </c>
      <c r="F25" s="8">
        <v>75</v>
      </c>
      <c r="G25" s="8">
        <v>24646.6</v>
      </c>
      <c r="H25" s="8">
        <v>24609</v>
      </c>
      <c r="I25" s="6">
        <f t="shared" si="0"/>
        <v>37.599999999998545</v>
      </c>
      <c r="J25" s="6">
        <f t="shared" si="1"/>
        <v>2819.9999999998909</v>
      </c>
      <c r="K25" s="6">
        <f t="shared" si="2"/>
        <v>1848495</v>
      </c>
      <c r="L25" s="6">
        <f t="shared" si="3"/>
        <v>1845675</v>
      </c>
      <c r="M25" s="6">
        <f t="shared" si="4"/>
        <v>3694170</v>
      </c>
      <c r="N25" s="6">
        <f t="shared" si="5"/>
        <v>495.01877999999999</v>
      </c>
      <c r="O25" s="6">
        <f t="shared" si="6"/>
        <v>2324.981219999891</v>
      </c>
    </row>
    <row r="26" spans="1:15" x14ac:dyDescent="0.25">
      <c r="A26" s="7">
        <v>45930</v>
      </c>
      <c r="B26" s="8" t="s">
        <v>14</v>
      </c>
      <c r="C26" s="7">
        <v>45958</v>
      </c>
      <c r="D26" s="8" t="s">
        <v>13</v>
      </c>
      <c r="E26" s="8" t="s">
        <v>18</v>
      </c>
      <c r="F26" s="8">
        <v>140</v>
      </c>
      <c r="G26" s="8">
        <v>12663.3</v>
      </c>
      <c r="H26" s="8">
        <v>13366</v>
      </c>
      <c r="I26" s="6">
        <f t="shared" si="0"/>
        <v>702.70000000000073</v>
      </c>
      <c r="J26" s="6">
        <f t="shared" si="1"/>
        <v>98378.000000000102</v>
      </c>
      <c r="K26" s="6">
        <f t="shared" si="2"/>
        <v>1871240</v>
      </c>
      <c r="L26" s="6">
        <f t="shared" si="3"/>
        <v>1772862</v>
      </c>
      <c r="M26" s="6">
        <f t="shared" si="4"/>
        <v>3644102</v>
      </c>
      <c r="N26" s="6">
        <f t="shared" si="5"/>
        <v>488.30966800000004</v>
      </c>
      <c r="O26" s="6">
        <f t="shared" si="6"/>
        <v>97889.6903320001</v>
      </c>
    </row>
    <row r="27" spans="1:15" x14ac:dyDescent="0.25">
      <c r="A27" s="7">
        <v>45930</v>
      </c>
      <c r="B27" s="8" t="s">
        <v>19</v>
      </c>
      <c r="C27" s="7">
        <v>45958</v>
      </c>
      <c r="D27" s="8" t="s">
        <v>15</v>
      </c>
      <c r="E27" s="8" t="s">
        <v>18</v>
      </c>
      <c r="F27" s="8">
        <v>75</v>
      </c>
      <c r="G27" s="8">
        <v>24771.200000000001</v>
      </c>
      <c r="H27" s="8">
        <v>25940</v>
      </c>
      <c r="I27" s="6">
        <f t="shared" si="0"/>
        <v>-1168.7999999999993</v>
      </c>
      <c r="J27" s="6">
        <f t="shared" si="1"/>
        <v>-87659.999999999942</v>
      </c>
      <c r="K27" s="6">
        <f t="shared" si="2"/>
        <v>1857840</v>
      </c>
      <c r="L27" s="6">
        <f t="shared" si="3"/>
        <v>1945500</v>
      </c>
      <c r="M27" s="6">
        <f t="shared" si="4"/>
        <v>3803340</v>
      </c>
      <c r="N27" s="6">
        <f t="shared" si="5"/>
        <v>509.64756</v>
      </c>
      <c r="O27" s="6">
        <f t="shared" si="6"/>
        <v>-88169.647559999939</v>
      </c>
    </row>
    <row r="28" spans="1:15" x14ac:dyDescent="0.25">
      <c r="A28" s="7">
        <v>45958</v>
      </c>
      <c r="B28" s="8" t="s">
        <v>14</v>
      </c>
      <c r="C28" s="7">
        <v>45986</v>
      </c>
      <c r="D28" s="8" t="s">
        <v>13</v>
      </c>
      <c r="E28" s="8" t="s">
        <v>18</v>
      </c>
      <c r="F28" s="8">
        <v>140</v>
      </c>
      <c r="G28" s="8">
        <v>13443.45</v>
      </c>
      <c r="H28" s="8">
        <v>13809.65</v>
      </c>
      <c r="I28" s="6">
        <f t="shared" si="0"/>
        <v>366.19999999999891</v>
      </c>
      <c r="J28" s="6">
        <f t="shared" si="1"/>
        <v>51267.999999999847</v>
      </c>
      <c r="K28" s="6">
        <f t="shared" si="2"/>
        <v>1933351</v>
      </c>
      <c r="L28" s="6">
        <f t="shared" si="3"/>
        <v>1882083</v>
      </c>
      <c r="M28" s="6">
        <f t="shared" si="4"/>
        <v>3815434</v>
      </c>
      <c r="N28" s="6">
        <f t="shared" si="5"/>
        <v>511.26815600000003</v>
      </c>
      <c r="O28" s="6">
        <f t="shared" si="6"/>
        <v>50756.731843999849</v>
      </c>
    </row>
    <row r="29" spans="1:15" x14ac:dyDescent="0.25">
      <c r="A29" s="7">
        <v>45958</v>
      </c>
      <c r="B29" s="8" t="s">
        <v>19</v>
      </c>
      <c r="C29" s="7">
        <v>45986</v>
      </c>
      <c r="D29" s="8" t="s">
        <v>15</v>
      </c>
      <c r="E29" s="8" t="s">
        <v>18</v>
      </c>
      <c r="F29" s="8">
        <v>75</v>
      </c>
      <c r="G29" s="8">
        <v>26099</v>
      </c>
      <c r="H29" s="8">
        <v>25889.9</v>
      </c>
      <c r="I29" s="6">
        <f t="shared" si="0"/>
        <v>209.09999999999854</v>
      </c>
      <c r="J29" s="6">
        <f t="shared" si="1"/>
        <v>15682.499999999891</v>
      </c>
      <c r="K29" s="6">
        <f t="shared" si="2"/>
        <v>1957425</v>
      </c>
      <c r="L29" s="6">
        <f t="shared" si="3"/>
        <v>1941742.5</v>
      </c>
      <c r="M29" s="6">
        <f t="shared" si="4"/>
        <v>3899167.5</v>
      </c>
      <c r="N29" s="6">
        <f t="shared" si="5"/>
        <v>522.48844500000007</v>
      </c>
      <c r="O29" s="6">
        <f t="shared" si="6"/>
        <v>15160.01155499989</v>
      </c>
    </row>
    <row r="30" spans="1:15" x14ac:dyDescent="0.25">
      <c r="A30" s="7">
        <v>45986</v>
      </c>
      <c r="B30" s="8" t="s">
        <v>14</v>
      </c>
      <c r="C30" s="7">
        <v>46021</v>
      </c>
      <c r="D30" s="8" t="s">
        <v>13</v>
      </c>
      <c r="E30" s="8" t="s">
        <v>18</v>
      </c>
      <c r="F30" s="8">
        <v>140</v>
      </c>
      <c r="G30" s="8">
        <v>13901.8</v>
      </c>
      <c r="H30" s="8">
        <v>13600</v>
      </c>
      <c r="I30" s="6">
        <f t="shared" si="0"/>
        <v>-301.79999999999927</v>
      </c>
      <c r="J30" s="6">
        <f t="shared" si="1"/>
        <v>-42251.999999999898</v>
      </c>
      <c r="K30" s="6">
        <f t="shared" si="2"/>
        <v>1904000</v>
      </c>
      <c r="L30" s="6">
        <f t="shared" si="3"/>
        <v>1946252</v>
      </c>
      <c r="M30" s="6">
        <f t="shared" si="4"/>
        <v>3850252</v>
      </c>
      <c r="N30" s="6">
        <f t="shared" si="5"/>
        <v>515.93376799999999</v>
      </c>
      <c r="O30" s="6">
        <f t="shared" si="6"/>
        <v>-42767.933767999901</v>
      </c>
    </row>
    <row r="31" spans="1:15" x14ac:dyDescent="0.25">
      <c r="A31" s="7">
        <v>45986</v>
      </c>
      <c r="B31" s="8" t="s">
        <v>19</v>
      </c>
      <c r="C31" s="7">
        <v>46021</v>
      </c>
      <c r="D31" s="8" t="s">
        <v>15</v>
      </c>
      <c r="E31" s="8" t="s">
        <v>18</v>
      </c>
      <c r="F31" s="8">
        <v>75</v>
      </c>
      <c r="G31" s="8">
        <v>26059.9</v>
      </c>
      <c r="H31" s="8">
        <v>25936.7</v>
      </c>
      <c r="I31" s="6">
        <f t="shared" si="0"/>
        <v>123.20000000000073</v>
      </c>
      <c r="J31" s="6">
        <f t="shared" si="1"/>
        <v>9240.0000000000546</v>
      </c>
      <c r="K31" s="6">
        <f t="shared" si="2"/>
        <v>1954492.5</v>
      </c>
      <c r="L31" s="6">
        <f t="shared" si="3"/>
        <v>1945252.5</v>
      </c>
      <c r="M31" s="6">
        <f t="shared" si="4"/>
        <v>3899745</v>
      </c>
      <c r="N31" s="6">
        <f t="shared" si="5"/>
        <v>522.56583000000001</v>
      </c>
      <c r="O31" s="6">
        <f t="shared" si="6"/>
        <v>8717.434170000055</v>
      </c>
    </row>
    <row r="32" spans="1:15" x14ac:dyDescent="0.25">
      <c r="A32" s="7">
        <v>46021</v>
      </c>
      <c r="B32" s="8" t="s">
        <v>14</v>
      </c>
      <c r="C32" s="7">
        <v>46049</v>
      </c>
      <c r="D32" s="8" t="s">
        <v>13</v>
      </c>
      <c r="E32" s="8" t="s">
        <v>18</v>
      </c>
      <c r="F32" s="8">
        <v>120</v>
      </c>
      <c r="G32" s="8">
        <v>13667.55</v>
      </c>
      <c r="H32" s="10">
        <v>13120.95</v>
      </c>
      <c r="I32" s="6">
        <f t="shared" si="0"/>
        <v>-546.59999999999854</v>
      </c>
      <c r="J32" s="6">
        <f t="shared" si="1"/>
        <v>-65591.999999999825</v>
      </c>
      <c r="K32" s="6">
        <f t="shared" si="2"/>
        <v>1574514</v>
      </c>
      <c r="L32" s="6">
        <f t="shared" si="3"/>
        <v>1640106</v>
      </c>
      <c r="M32" s="6">
        <f t="shared" si="4"/>
        <v>3214620</v>
      </c>
      <c r="N32" s="6">
        <f t="shared" si="5"/>
        <v>430.75908000000004</v>
      </c>
      <c r="O32" s="6">
        <f t="shared" si="6"/>
        <v>-66022.759079999829</v>
      </c>
    </row>
    <row r="33" spans="1:17" x14ac:dyDescent="0.25">
      <c r="A33" s="7">
        <v>46021</v>
      </c>
      <c r="B33" s="8" t="s">
        <v>19</v>
      </c>
      <c r="C33" s="7">
        <v>46049</v>
      </c>
      <c r="D33" s="8" t="s">
        <v>15</v>
      </c>
      <c r="E33" s="8" t="s">
        <v>18</v>
      </c>
      <c r="F33" s="8">
        <v>65</v>
      </c>
      <c r="G33" s="8">
        <v>26117.5</v>
      </c>
      <c r="H33" s="10">
        <v>25174</v>
      </c>
      <c r="I33" s="6">
        <f t="shared" si="0"/>
        <v>943.5</v>
      </c>
      <c r="J33" s="6">
        <f t="shared" si="1"/>
        <v>61327.5</v>
      </c>
      <c r="K33" s="6">
        <f t="shared" si="2"/>
        <v>1697637.5</v>
      </c>
      <c r="L33" s="6">
        <f t="shared" si="3"/>
        <v>1636310</v>
      </c>
      <c r="M33" s="6">
        <f t="shared" si="4"/>
        <v>3333947.5</v>
      </c>
      <c r="N33" s="6">
        <f t="shared" si="5"/>
        <v>446.748965</v>
      </c>
      <c r="O33" s="6">
        <f t="shared" si="6"/>
        <v>60880.751035000001</v>
      </c>
    </row>
    <row r="34" spans="1:17" x14ac:dyDescent="0.25">
      <c r="A34" s="7">
        <v>46049</v>
      </c>
      <c r="B34" s="8" t="s">
        <v>14</v>
      </c>
      <c r="C34" s="7">
        <v>46077</v>
      </c>
      <c r="D34" s="8" t="s">
        <v>13</v>
      </c>
      <c r="E34" s="8" t="s">
        <v>18</v>
      </c>
      <c r="F34" s="8">
        <v>120</v>
      </c>
      <c r="G34" s="10">
        <v>13191.85</v>
      </c>
      <c r="H34" s="8">
        <v>13441.4</v>
      </c>
      <c r="I34" s="6">
        <f t="shared" si="0"/>
        <v>249.54999999999927</v>
      </c>
      <c r="J34" s="6">
        <f t="shared" si="1"/>
        <v>29945.999999999913</v>
      </c>
      <c r="K34" s="6">
        <f t="shared" si="2"/>
        <v>1612968</v>
      </c>
      <c r="L34" s="6">
        <f t="shared" si="3"/>
        <v>1583022</v>
      </c>
      <c r="M34" s="6">
        <f t="shared" si="4"/>
        <v>3195990</v>
      </c>
      <c r="N34" s="6">
        <f t="shared" si="5"/>
        <v>428.26266000000004</v>
      </c>
      <c r="O34" s="6">
        <f t="shared" si="6"/>
        <v>29517.737339999912</v>
      </c>
    </row>
    <row r="35" spans="1:17" x14ac:dyDescent="0.25">
      <c r="A35" s="7">
        <v>46049</v>
      </c>
      <c r="B35" s="8" t="s">
        <v>19</v>
      </c>
      <c r="C35" s="7">
        <v>46077</v>
      </c>
      <c r="D35" s="8" t="s">
        <v>15</v>
      </c>
      <c r="E35" s="8" t="s">
        <v>18</v>
      </c>
      <c r="F35" s="8">
        <v>65</v>
      </c>
      <c r="G35" s="10">
        <v>25375.8</v>
      </c>
      <c r="H35" s="8">
        <v>25417.5</v>
      </c>
      <c r="I35" s="6">
        <f t="shared" si="0"/>
        <v>-41.700000000000728</v>
      </c>
      <c r="J35" s="6">
        <f t="shared" si="1"/>
        <v>-2710.5000000000473</v>
      </c>
      <c r="K35" s="6">
        <f t="shared" si="2"/>
        <v>1649427</v>
      </c>
      <c r="L35" s="6">
        <f t="shared" si="3"/>
        <v>1652137.5</v>
      </c>
      <c r="M35" s="6">
        <f t="shared" si="4"/>
        <v>3301564.5</v>
      </c>
      <c r="N35" s="6">
        <f t="shared" si="5"/>
        <v>442.40964300000002</v>
      </c>
      <c r="O35" s="6">
        <f t="shared" si="6"/>
        <v>-3152.9096430000473</v>
      </c>
    </row>
    <row r="36" spans="1:17" x14ac:dyDescent="0.25">
      <c r="A36" s="7">
        <v>46077</v>
      </c>
      <c r="B36" s="8" t="s">
        <v>14</v>
      </c>
      <c r="C36" s="7">
        <v>46111</v>
      </c>
      <c r="D36" s="8" t="s">
        <v>13</v>
      </c>
      <c r="E36" s="8" t="s">
        <v>18</v>
      </c>
      <c r="F36" s="8">
        <v>120</v>
      </c>
      <c r="G36" s="8">
        <v>13490.5</v>
      </c>
      <c r="H36" s="8">
        <v>12164.3</v>
      </c>
      <c r="I36" s="6">
        <f t="shared" si="0"/>
        <v>-1326.2000000000007</v>
      </c>
      <c r="J36" s="6">
        <f t="shared" si="1"/>
        <v>-159144.00000000009</v>
      </c>
      <c r="K36" s="6">
        <f t="shared" si="2"/>
        <v>1459716</v>
      </c>
      <c r="L36" s="6">
        <f t="shared" si="3"/>
        <v>1618860</v>
      </c>
      <c r="M36" s="6">
        <f t="shared" si="4"/>
        <v>3078576</v>
      </c>
      <c r="N36" s="6">
        <f t="shared" si="5"/>
        <v>412.52918399999999</v>
      </c>
      <c r="O36" s="6">
        <f t="shared" si="6"/>
        <v>-159556.5291840001</v>
      </c>
    </row>
    <row r="37" spans="1:17" x14ac:dyDescent="0.25">
      <c r="A37" s="7">
        <v>46077</v>
      </c>
      <c r="B37" s="8" t="s">
        <v>19</v>
      </c>
      <c r="C37" s="7">
        <v>46111</v>
      </c>
      <c r="D37" s="8" t="s">
        <v>15</v>
      </c>
      <c r="E37" s="8" t="s">
        <v>18</v>
      </c>
      <c r="F37" s="8">
        <v>65</v>
      </c>
      <c r="G37" s="8">
        <v>25588.2</v>
      </c>
      <c r="H37" s="8">
        <v>22324</v>
      </c>
      <c r="I37" s="6">
        <f t="shared" si="0"/>
        <v>3264.2000000000007</v>
      </c>
      <c r="J37" s="6">
        <f t="shared" si="1"/>
        <v>212173.00000000006</v>
      </c>
      <c r="K37" s="6">
        <f t="shared" si="2"/>
        <v>1663233</v>
      </c>
      <c r="L37" s="6">
        <f t="shared" si="3"/>
        <v>1451060</v>
      </c>
      <c r="M37" s="6">
        <f t="shared" si="4"/>
        <v>3114293</v>
      </c>
      <c r="N37" s="6">
        <f t="shared" si="5"/>
        <v>417.31526200000002</v>
      </c>
      <c r="O37" s="6">
        <f t="shared" si="6"/>
        <v>211755.68473800007</v>
      </c>
    </row>
    <row r="38" spans="1:17" x14ac:dyDescent="0.25">
      <c r="A38" s="7">
        <v>46111</v>
      </c>
      <c r="B38" s="8" t="s">
        <v>14</v>
      </c>
      <c r="C38" s="7">
        <v>46140</v>
      </c>
      <c r="D38" s="8" t="s">
        <v>13</v>
      </c>
      <c r="E38" s="8" t="s">
        <v>18</v>
      </c>
      <c r="F38" s="8">
        <v>120</v>
      </c>
      <c r="G38" s="8">
        <v>12160.65</v>
      </c>
      <c r="H38" s="8">
        <v>13970</v>
      </c>
      <c r="I38" s="6">
        <f t="shared" si="0"/>
        <v>1809.3500000000004</v>
      </c>
      <c r="J38" s="6">
        <f t="shared" si="1"/>
        <v>217122.00000000006</v>
      </c>
      <c r="K38" s="6">
        <f t="shared" si="2"/>
        <v>1676400</v>
      </c>
      <c r="L38" s="6">
        <f t="shared" si="3"/>
        <v>1459278</v>
      </c>
      <c r="M38" s="6">
        <f t="shared" si="4"/>
        <v>3135678</v>
      </c>
      <c r="N38" s="6">
        <f t="shared" si="5"/>
        <v>420.18085200000002</v>
      </c>
      <c r="O38" s="6">
        <f t="shared" si="6"/>
        <v>216701.81914800007</v>
      </c>
    </row>
    <row r="39" spans="1:17" x14ac:dyDescent="0.25">
      <c r="A39" s="7">
        <v>46111</v>
      </c>
      <c r="B39" s="8" t="s">
        <v>19</v>
      </c>
      <c r="C39" s="7">
        <v>46140</v>
      </c>
      <c r="D39" s="8" t="s">
        <v>15</v>
      </c>
      <c r="E39" s="8" t="s">
        <v>18</v>
      </c>
      <c r="F39" s="8">
        <v>65</v>
      </c>
      <c r="G39" s="8">
        <v>22419.4</v>
      </c>
      <c r="H39" s="8">
        <v>23977.1</v>
      </c>
      <c r="I39" s="6">
        <f t="shared" si="0"/>
        <v>-1557.6999999999971</v>
      </c>
      <c r="J39" s="6">
        <f t="shared" si="1"/>
        <v>-101250.49999999981</v>
      </c>
      <c r="K39" s="6">
        <f t="shared" si="2"/>
        <v>1457261</v>
      </c>
      <c r="L39" s="6">
        <f t="shared" si="3"/>
        <v>1558511.5</v>
      </c>
      <c r="M39" s="6">
        <f t="shared" si="4"/>
        <v>3015772.5</v>
      </c>
      <c r="N39" s="6">
        <f t="shared" si="5"/>
        <v>404.11351500000001</v>
      </c>
      <c r="O39" s="6">
        <f t="shared" si="6"/>
        <v>-101654.61351499982</v>
      </c>
    </row>
    <row r="40" spans="1:17" x14ac:dyDescent="0.25">
      <c r="A40" s="7">
        <v>46140</v>
      </c>
      <c r="B40" s="8" t="s">
        <v>14</v>
      </c>
      <c r="C40" s="7">
        <v>46168</v>
      </c>
      <c r="D40" s="8" t="s">
        <v>13</v>
      </c>
      <c r="E40" s="8" t="s">
        <v>18</v>
      </c>
      <c r="F40" s="8">
        <v>120</v>
      </c>
      <c r="G40" s="8">
        <v>14010</v>
      </c>
      <c r="H40" s="8">
        <v>14676.6</v>
      </c>
      <c r="I40" s="6">
        <f t="shared" si="0"/>
        <v>666.60000000000036</v>
      </c>
      <c r="J40" s="6">
        <f t="shared" si="1"/>
        <v>79992.000000000044</v>
      </c>
      <c r="K40" s="6">
        <f t="shared" si="2"/>
        <v>1761192</v>
      </c>
      <c r="L40" s="6">
        <f t="shared" si="3"/>
        <v>1681200</v>
      </c>
      <c r="M40" s="6">
        <f t="shared" si="4"/>
        <v>3442392</v>
      </c>
      <c r="N40" s="6">
        <f t="shared" si="5"/>
        <v>461.280528</v>
      </c>
      <c r="O40" s="6">
        <f t="shared" si="6"/>
        <v>79530.719472000041</v>
      </c>
    </row>
    <row r="41" spans="1:17" x14ac:dyDescent="0.25">
      <c r="A41" s="7">
        <v>46140</v>
      </c>
      <c r="B41" s="8" t="s">
        <v>19</v>
      </c>
      <c r="C41" s="7">
        <v>46168</v>
      </c>
      <c r="D41" s="8" t="s">
        <v>15</v>
      </c>
      <c r="E41" s="8" t="s">
        <v>18</v>
      </c>
      <c r="F41" s="8">
        <v>65</v>
      </c>
      <c r="G41" s="8">
        <v>24052.799999999999</v>
      </c>
      <c r="H41" s="8">
        <v>23915</v>
      </c>
      <c r="I41" s="6">
        <f t="shared" si="0"/>
        <v>137.79999999999927</v>
      </c>
      <c r="J41" s="6">
        <f t="shared" si="1"/>
        <v>8956.9999999999527</v>
      </c>
      <c r="K41" s="6">
        <f t="shared" si="2"/>
        <v>1563432</v>
      </c>
      <c r="L41" s="6">
        <f t="shared" si="3"/>
        <v>1554475</v>
      </c>
      <c r="M41" s="6">
        <f t="shared" si="4"/>
        <v>3117907</v>
      </c>
      <c r="N41" s="6">
        <f t="shared" si="5"/>
        <v>417.79953800000004</v>
      </c>
      <c r="O41" s="6">
        <f t="shared" si="6"/>
        <v>8539.2004619999534</v>
      </c>
    </row>
    <row r="42" spans="1:17" x14ac:dyDescent="0.25">
      <c r="A42" s="7">
        <v>46168</v>
      </c>
      <c r="B42" s="8" t="s">
        <v>14</v>
      </c>
      <c r="C42" s="7">
        <v>46203</v>
      </c>
      <c r="D42" s="8" t="s">
        <v>13</v>
      </c>
      <c r="E42" s="8" t="s">
        <v>18</v>
      </c>
      <c r="F42" s="8">
        <v>120</v>
      </c>
      <c r="G42" s="8">
        <v>14777</v>
      </c>
      <c r="H42" s="8">
        <v>14546</v>
      </c>
      <c r="I42" s="6">
        <f t="shared" si="0"/>
        <v>-231</v>
      </c>
      <c r="J42" s="6">
        <f t="shared" si="1"/>
        <v>-27720</v>
      </c>
      <c r="K42" s="6">
        <f t="shared" si="2"/>
        <v>1745520</v>
      </c>
      <c r="L42" s="6">
        <f t="shared" si="3"/>
        <v>1773240</v>
      </c>
      <c r="M42" s="6">
        <f t="shared" si="4"/>
        <v>3518760</v>
      </c>
      <c r="N42" s="6">
        <f t="shared" si="5"/>
        <v>471.51384000000002</v>
      </c>
      <c r="O42" s="6">
        <f t="shared" si="6"/>
        <v>-28191.51384</v>
      </c>
    </row>
    <row r="43" spans="1:17" x14ac:dyDescent="0.25">
      <c r="A43" s="7">
        <v>46168</v>
      </c>
      <c r="B43" s="8" t="s">
        <v>19</v>
      </c>
      <c r="C43" s="7">
        <v>46203</v>
      </c>
      <c r="D43" s="8" t="s">
        <v>15</v>
      </c>
      <c r="E43" s="8" t="s">
        <v>18</v>
      </c>
      <c r="F43" s="8">
        <v>65</v>
      </c>
      <c r="G43" s="8">
        <v>23978</v>
      </c>
      <c r="H43" s="8">
        <v>24051</v>
      </c>
      <c r="I43" s="6">
        <f t="shared" si="0"/>
        <v>-73</v>
      </c>
      <c r="J43" s="6">
        <f t="shared" si="1"/>
        <v>-4745</v>
      </c>
      <c r="K43" s="6">
        <f t="shared" si="2"/>
        <v>1558570</v>
      </c>
      <c r="L43" s="6">
        <f t="shared" si="3"/>
        <v>1563315</v>
      </c>
      <c r="M43" s="6">
        <f t="shared" si="4"/>
        <v>3121885</v>
      </c>
      <c r="N43" s="6">
        <f t="shared" si="5"/>
        <v>418.33259000000004</v>
      </c>
      <c r="O43" s="6">
        <f t="shared" si="6"/>
        <v>-5163.33259</v>
      </c>
    </row>
    <row r="48" spans="1:17" x14ac:dyDescent="0.25">
      <c r="Q48">
        <v>450000</v>
      </c>
    </row>
    <row r="49" spans="17:17" x14ac:dyDescent="0.25">
      <c r="Q49">
        <v>107000</v>
      </c>
    </row>
    <row r="50" spans="17:17" x14ac:dyDescent="0.25">
      <c r="Q50" s="9">
        <f>Q49/Q48</f>
        <v>0.23777777777777778</v>
      </c>
    </row>
  </sheetData>
  <autoFilter ref="A1:AE43"/>
  <conditionalFormatting pivot="1" sqref="S7:AE10">
    <cfRule type="cellIs" dxfId="12" priority="2" operator="lessThan">
      <formula>0</formula>
    </cfRule>
  </conditionalFormatting>
  <conditionalFormatting pivot="1" sqref="S7:AE10">
    <cfRule type="cellIs" dxfId="11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2"/>
  <sheetViews>
    <sheetView showGridLines="0" topLeftCell="U1" workbookViewId="0">
      <pane ySplit="1" topLeftCell="A2" activePane="bottomLeft" state="frozen"/>
      <selection pane="bottomLeft" activeCell="AJ10" sqref="AJ10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0.42578125" bestFit="1" customWidth="1"/>
    <col min="4" max="4" width="13.5703125" customWidth="1"/>
    <col min="5" max="5" width="9.7109375" customWidth="1"/>
    <col min="6" max="6" width="12" customWidth="1"/>
    <col min="7" max="7" width="13.7109375" customWidth="1"/>
    <col min="8" max="8" width="12" customWidth="1"/>
    <col min="9" max="9" width="8.140625" bestFit="1" customWidth="1"/>
    <col min="10" max="10" width="14.7109375" customWidth="1"/>
    <col min="11" max="11" width="13.42578125" customWidth="1"/>
    <col min="12" max="12" width="14.42578125" customWidth="1"/>
    <col min="13" max="13" width="16.5703125" customWidth="1"/>
    <col min="14" max="14" width="11.85546875" customWidth="1"/>
    <col min="15" max="15" width="13" customWidth="1"/>
    <col min="16" max="16" width="15" customWidth="1"/>
    <col min="17" max="17" width="13.28515625" customWidth="1"/>
    <col min="18" max="18" width="10" customWidth="1"/>
    <col min="19" max="19" width="17.140625" customWidth="1"/>
    <col min="20" max="20" width="14" customWidth="1"/>
    <col min="23" max="23" width="16.42578125" bestFit="1" customWidth="1"/>
    <col min="24" max="24" width="16.28515625" bestFit="1" customWidth="1"/>
    <col min="25" max="25" width="11.5703125" bestFit="1" customWidth="1"/>
    <col min="26" max="26" width="10" bestFit="1" customWidth="1"/>
    <col min="27" max="28" width="11.5703125" bestFit="1" customWidth="1"/>
    <col min="29" max="31" width="10.7109375" bestFit="1" customWidth="1"/>
    <col min="32" max="32" width="9" bestFit="1" customWidth="1"/>
    <col min="33" max="33" width="10" bestFit="1" customWidth="1"/>
    <col min="34" max="35" width="11.5703125" bestFit="1" customWidth="1"/>
    <col min="36" max="36" width="12.5703125" bestFit="1" customWidth="1"/>
  </cols>
  <sheetData>
    <row r="1" spans="1:36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39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</v>
      </c>
      <c r="N1" s="11" t="s">
        <v>40</v>
      </c>
      <c r="O1" s="11" t="s">
        <v>41</v>
      </c>
      <c r="P1" s="11" t="s">
        <v>42</v>
      </c>
      <c r="Q1" s="11" t="s">
        <v>43</v>
      </c>
      <c r="R1" s="11" t="s">
        <v>44</v>
      </c>
      <c r="S1" s="5" t="s">
        <v>17</v>
      </c>
      <c r="T1" s="5" t="s">
        <v>12</v>
      </c>
    </row>
    <row r="2" spans="1:36" x14ac:dyDescent="0.25">
      <c r="A2" s="7">
        <v>45561</v>
      </c>
      <c r="B2" s="8" t="s">
        <v>14</v>
      </c>
      <c r="C2" s="7">
        <v>45593</v>
      </c>
      <c r="D2" s="8" t="s">
        <v>13</v>
      </c>
      <c r="E2" s="8" t="s">
        <v>18</v>
      </c>
      <c r="F2" s="8">
        <v>22500</v>
      </c>
      <c r="G2" s="8">
        <v>13337.1</v>
      </c>
      <c r="H2" s="8">
        <v>12402.65</v>
      </c>
      <c r="I2" s="6">
        <f t="shared" ref="I2:I45" si="0">IF(D2="Short",G2-H2,H2-G2)</f>
        <v>-934.45000000000073</v>
      </c>
      <c r="J2" s="6">
        <f t="shared" ref="J2:J45" si="1">I2*F2</f>
        <v>-21025125.000000015</v>
      </c>
      <c r="K2" s="6">
        <f t="shared" ref="K2:K45" si="2">IF(D2="Short",F2*G2,F2*H2)</f>
        <v>279059625</v>
      </c>
      <c r="L2" s="6">
        <f t="shared" ref="L2:L45" si="3">IF(D2="Short",F2*H2,G2*F2)</f>
        <v>300084750</v>
      </c>
      <c r="M2" s="6">
        <f t="shared" ref="M2:M45" si="4">K2+L2</f>
        <v>579144375</v>
      </c>
      <c r="N2" s="6">
        <f>K2*0.02%</f>
        <v>55811.925000000003</v>
      </c>
      <c r="O2" s="6">
        <f>M2*0.00173%</f>
        <v>10019.1976875</v>
      </c>
      <c r="P2" s="6">
        <f>M2*0.0001%</f>
        <v>579.14437499999997</v>
      </c>
      <c r="Q2" s="6">
        <f>L2*0.02%</f>
        <v>60016.950000000004</v>
      </c>
      <c r="R2" s="6">
        <f>(O2+P2)*18%</f>
        <v>1907.7015712499999</v>
      </c>
      <c r="S2" s="6">
        <f>SUM(N2:R2)</f>
        <v>128334.91863375001</v>
      </c>
      <c r="T2" s="6">
        <f t="shared" ref="T2:T45" si="5">J2-S2</f>
        <v>-21153459.918633766</v>
      </c>
      <c r="U2" s="12"/>
    </row>
    <row r="3" spans="1:36" x14ac:dyDescent="0.25">
      <c r="A3" s="7">
        <v>45561</v>
      </c>
      <c r="B3" s="8" t="s">
        <v>19</v>
      </c>
      <c r="C3" s="7">
        <v>45596</v>
      </c>
      <c r="D3" s="8" t="s">
        <v>15</v>
      </c>
      <c r="E3" s="8" t="s">
        <v>18</v>
      </c>
      <c r="F3" s="8">
        <v>11400</v>
      </c>
      <c r="G3" s="8">
        <v>26308.55</v>
      </c>
      <c r="H3" s="8">
        <v>24209</v>
      </c>
      <c r="I3" s="6">
        <f t="shared" si="0"/>
        <v>2099.5499999999993</v>
      </c>
      <c r="J3" s="6">
        <f t="shared" si="1"/>
        <v>23934869.999999993</v>
      </c>
      <c r="K3" s="6">
        <f t="shared" si="2"/>
        <v>299917470</v>
      </c>
      <c r="L3" s="6">
        <f t="shared" si="3"/>
        <v>275982600</v>
      </c>
      <c r="M3" s="6">
        <f t="shared" si="4"/>
        <v>575900070</v>
      </c>
      <c r="N3" s="6">
        <f t="shared" ref="N3:N37" si="6">K3*0.02%</f>
        <v>59983.494000000006</v>
      </c>
      <c r="O3" s="6">
        <f t="shared" ref="O3:O45" si="7">M3*0.00173%</f>
        <v>9963.0712110000004</v>
      </c>
      <c r="P3" s="6">
        <f t="shared" ref="P3:P45" si="8">M3*0.0001%</f>
        <v>575.90007000000003</v>
      </c>
      <c r="Q3" s="6">
        <f t="shared" ref="Q3:Q45" si="9">L3*0.02%</f>
        <v>55196.520000000004</v>
      </c>
      <c r="R3" s="6">
        <f t="shared" ref="R3:R45" si="10">(O3+P3)*18%</f>
        <v>1897.0148305799999</v>
      </c>
      <c r="S3" s="6">
        <f t="shared" ref="S3:S45" si="11">SUM(N3:R3)</f>
        <v>127616.00011158001</v>
      </c>
      <c r="T3" s="6">
        <f t="shared" si="5"/>
        <v>23807253.999888413</v>
      </c>
    </row>
    <row r="4" spans="1:36" x14ac:dyDescent="0.25">
      <c r="A4" s="7">
        <v>45593</v>
      </c>
      <c r="B4" s="8" t="s">
        <v>14</v>
      </c>
      <c r="C4" s="7">
        <v>45621</v>
      </c>
      <c r="D4" s="8" t="s">
        <v>13</v>
      </c>
      <c r="E4" s="8" t="s">
        <v>18</v>
      </c>
      <c r="F4" s="8">
        <v>22500</v>
      </c>
      <c r="G4" s="8">
        <v>12454.45</v>
      </c>
      <c r="H4" s="8">
        <v>12573.65</v>
      </c>
      <c r="I4" s="6">
        <f t="shared" si="0"/>
        <v>119.19999999999891</v>
      </c>
      <c r="J4" s="6">
        <f t="shared" si="1"/>
        <v>2681999.9999999753</v>
      </c>
      <c r="K4" s="6">
        <f t="shared" si="2"/>
        <v>282907125</v>
      </c>
      <c r="L4" s="6">
        <f t="shared" si="3"/>
        <v>280225125</v>
      </c>
      <c r="M4" s="6">
        <f t="shared" si="4"/>
        <v>563132250</v>
      </c>
      <c r="N4" s="6">
        <f t="shared" si="6"/>
        <v>56581.425000000003</v>
      </c>
      <c r="O4" s="6">
        <f t="shared" si="7"/>
        <v>9742.1879250000002</v>
      </c>
      <c r="P4" s="6">
        <f t="shared" si="8"/>
        <v>563.13225</v>
      </c>
      <c r="Q4" s="6">
        <f t="shared" si="9"/>
        <v>56045.025000000001</v>
      </c>
      <c r="R4" s="6">
        <f t="shared" si="10"/>
        <v>1854.9576315000002</v>
      </c>
      <c r="S4" s="6">
        <f t="shared" si="11"/>
        <v>124786.72780650001</v>
      </c>
      <c r="T4" s="6">
        <f t="shared" si="5"/>
        <v>2557213.2721934752</v>
      </c>
    </row>
    <row r="5" spans="1:36" x14ac:dyDescent="0.25">
      <c r="A5" s="7">
        <v>45596</v>
      </c>
      <c r="B5" s="8" t="s">
        <v>19</v>
      </c>
      <c r="C5" s="7">
        <v>45624</v>
      </c>
      <c r="D5" s="8" t="s">
        <v>15</v>
      </c>
      <c r="E5" s="8" t="s">
        <v>18</v>
      </c>
      <c r="F5" s="8">
        <v>11400</v>
      </c>
      <c r="G5" s="8">
        <v>24398.3</v>
      </c>
      <c r="H5" s="8">
        <v>23901.55</v>
      </c>
      <c r="I5" s="6">
        <f t="shared" si="0"/>
        <v>496.75</v>
      </c>
      <c r="J5" s="6">
        <f t="shared" si="1"/>
        <v>5662950</v>
      </c>
      <c r="K5" s="6">
        <f t="shared" si="2"/>
        <v>278140620</v>
      </c>
      <c r="L5" s="6">
        <f t="shared" si="3"/>
        <v>272477670</v>
      </c>
      <c r="M5" s="6">
        <f t="shared" si="4"/>
        <v>550618290</v>
      </c>
      <c r="N5" s="6">
        <f t="shared" si="6"/>
        <v>55628.124000000003</v>
      </c>
      <c r="O5" s="6">
        <f t="shared" si="7"/>
        <v>9525.696417000001</v>
      </c>
      <c r="P5" s="6">
        <f t="shared" si="8"/>
        <v>550.61829</v>
      </c>
      <c r="Q5" s="6">
        <f t="shared" si="9"/>
        <v>54495.534</v>
      </c>
      <c r="R5" s="6">
        <f t="shared" si="10"/>
        <v>1813.7366472600002</v>
      </c>
      <c r="S5" s="6">
        <f t="shared" si="11"/>
        <v>122013.70935426001</v>
      </c>
      <c r="T5" s="6">
        <f t="shared" si="5"/>
        <v>5540936.29064574</v>
      </c>
      <c r="W5" s="1" t="s">
        <v>38</v>
      </c>
      <c r="X5" s="1" t="s">
        <v>25</v>
      </c>
    </row>
    <row r="6" spans="1:36" x14ac:dyDescent="0.25">
      <c r="A6" s="7">
        <v>45621</v>
      </c>
      <c r="B6" s="8" t="s">
        <v>14</v>
      </c>
      <c r="C6" s="7">
        <v>45656</v>
      </c>
      <c r="D6" s="8" t="s">
        <v>13</v>
      </c>
      <c r="E6" s="8" t="s">
        <v>18</v>
      </c>
      <c r="F6" s="8">
        <v>22500</v>
      </c>
      <c r="G6" s="8">
        <v>12660</v>
      </c>
      <c r="H6" s="8">
        <v>12993</v>
      </c>
      <c r="I6" s="6">
        <f t="shared" si="0"/>
        <v>333</v>
      </c>
      <c r="J6" s="6">
        <f t="shared" si="1"/>
        <v>7492500</v>
      </c>
      <c r="K6" s="6">
        <f t="shared" si="2"/>
        <v>292342500</v>
      </c>
      <c r="L6" s="6">
        <f t="shared" si="3"/>
        <v>284850000</v>
      </c>
      <c r="M6" s="6">
        <f t="shared" si="4"/>
        <v>577192500</v>
      </c>
      <c r="N6" s="6">
        <f t="shared" si="6"/>
        <v>58468.5</v>
      </c>
      <c r="O6" s="6">
        <f t="shared" si="7"/>
        <v>9985.4302499999994</v>
      </c>
      <c r="P6" s="6">
        <f t="shared" si="8"/>
        <v>577.1925</v>
      </c>
      <c r="Q6" s="6">
        <f t="shared" si="9"/>
        <v>56970</v>
      </c>
      <c r="R6" s="6">
        <f t="shared" si="10"/>
        <v>1901.2720949999996</v>
      </c>
      <c r="S6" s="6">
        <f t="shared" si="11"/>
        <v>127902.394845</v>
      </c>
      <c r="T6" s="6">
        <f t="shared" si="5"/>
        <v>7364597.6051550005</v>
      </c>
      <c r="W6" s="1" t="s">
        <v>20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21</v>
      </c>
    </row>
    <row r="7" spans="1:36" x14ac:dyDescent="0.25">
      <c r="A7" s="7">
        <v>45624</v>
      </c>
      <c r="B7" s="8" t="s">
        <v>19</v>
      </c>
      <c r="C7" s="7">
        <v>45652</v>
      </c>
      <c r="D7" s="8" t="s">
        <v>15</v>
      </c>
      <c r="E7" s="8" t="s">
        <v>18</v>
      </c>
      <c r="F7" s="8">
        <v>11400</v>
      </c>
      <c r="G7" s="8">
        <v>24111.85</v>
      </c>
      <c r="H7" s="8">
        <v>23749.8</v>
      </c>
      <c r="I7" s="6">
        <f t="shared" si="0"/>
        <v>362.04999999999927</v>
      </c>
      <c r="J7" s="6">
        <f t="shared" si="1"/>
        <v>4127369.9999999916</v>
      </c>
      <c r="K7" s="6">
        <f t="shared" si="2"/>
        <v>274875090</v>
      </c>
      <c r="L7" s="6">
        <f t="shared" si="3"/>
        <v>270747720</v>
      </c>
      <c r="M7" s="6">
        <f t="shared" si="4"/>
        <v>545622810</v>
      </c>
      <c r="N7" s="6">
        <f t="shared" si="6"/>
        <v>54975.018000000004</v>
      </c>
      <c r="O7" s="6">
        <f t="shared" si="7"/>
        <v>9439.2746129999996</v>
      </c>
      <c r="P7" s="6">
        <f t="shared" si="8"/>
        <v>545.62280999999996</v>
      </c>
      <c r="Q7" s="6">
        <f t="shared" si="9"/>
        <v>54149.544000000002</v>
      </c>
      <c r="R7" s="6">
        <f t="shared" si="10"/>
        <v>1797.2815361400001</v>
      </c>
      <c r="S7" s="6">
        <f t="shared" si="11"/>
        <v>120906.74095914001</v>
      </c>
      <c r="T7" s="6">
        <f t="shared" si="5"/>
        <v>4006463.2590408516</v>
      </c>
      <c r="W7" s="2" t="s">
        <v>22</v>
      </c>
      <c r="X7" s="4"/>
      <c r="Y7" s="4"/>
      <c r="Z7" s="4"/>
      <c r="AA7" s="4"/>
      <c r="AB7" s="4"/>
      <c r="AC7" s="4"/>
      <c r="AD7" s="4"/>
      <c r="AE7" s="4"/>
      <c r="AF7" s="4"/>
      <c r="AG7" s="4">
        <v>2653794.0812546462</v>
      </c>
      <c r="AH7" s="4">
        <v>8098149.5628392156</v>
      </c>
      <c r="AI7" s="4">
        <v>11371060.864195852</v>
      </c>
      <c r="AJ7" s="4">
        <v>22123004.508289713</v>
      </c>
    </row>
    <row r="8" spans="1:36" x14ac:dyDescent="0.25">
      <c r="A8" s="7">
        <v>45656</v>
      </c>
      <c r="B8" s="8" t="s">
        <v>14</v>
      </c>
      <c r="C8" s="7">
        <v>45687</v>
      </c>
      <c r="D8" s="8" t="s">
        <v>15</v>
      </c>
      <c r="E8" s="8" t="s">
        <v>18</v>
      </c>
      <c r="F8" s="8">
        <v>23100</v>
      </c>
      <c r="G8" s="8">
        <v>12997.05</v>
      </c>
      <c r="H8" s="8">
        <v>11800.65</v>
      </c>
      <c r="I8" s="6">
        <f t="shared" si="0"/>
        <v>1196.3999999999996</v>
      </c>
      <c r="J8" s="6">
        <f t="shared" si="1"/>
        <v>27636839.999999993</v>
      </c>
      <c r="K8" s="6">
        <f t="shared" si="2"/>
        <v>300231855</v>
      </c>
      <c r="L8" s="6">
        <f t="shared" si="3"/>
        <v>272595015</v>
      </c>
      <c r="M8" s="6">
        <f t="shared" si="4"/>
        <v>572826870</v>
      </c>
      <c r="N8" s="6">
        <f t="shared" si="6"/>
        <v>60046.371000000006</v>
      </c>
      <c r="O8" s="6">
        <f t="shared" si="7"/>
        <v>9909.9048509999993</v>
      </c>
      <c r="P8" s="6">
        <f t="shared" si="8"/>
        <v>572.82686999999999</v>
      </c>
      <c r="Q8" s="6">
        <f t="shared" si="9"/>
        <v>54519.003000000004</v>
      </c>
      <c r="R8" s="6">
        <f t="shared" si="10"/>
        <v>1886.8917097799999</v>
      </c>
      <c r="S8" s="6">
        <f t="shared" si="11"/>
        <v>126934.99743078003</v>
      </c>
      <c r="T8" s="6">
        <f t="shared" si="5"/>
        <v>27509905.002569214</v>
      </c>
      <c r="W8" s="2" t="s">
        <v>23</v>
      </c>
      <c r="X8" s="4">
        <v>31849290.138548907</v>
      </c>
      <c r="Y8" s="4">
        <v>9327321.289867362</v>
      </c>
      <c r="Z8" s="4">
        <v>1436367.071570687</v>
      </c>
      <c r="AA8" s="4">
        <v>9912325.2735675499</v>
      </c>
      <c r="AB8" s="4">
        <v>5469128.5272433348</v>
      </c>
      <c r="AC8" s="4">
        <v>5599188.0954472488</v>
      </c>
      <c r="AD8" s="4">
        <v>-3188866.452912135</v>
      </c>
      <c r="AE8" s="4">
        <v>-5681521.3558564549</v>
      </c>
      <c r="AF8" s="4">
        <v>463056.85178789485</v>
      </c>
      <c r="AG8" s="4">
        <v>3407937.0751606598</v>
      </c>
      <c r="AH8" s="4">
        <v>12418832.623809094</v>
      </c>
      <c r="AI8" s="4">
        <v>-6912891.1070582587</v>
      </c>
      <c r="AJ8" s="4">
        <v>64100168.031175882</v>
      </c>
    </row>
    <row r="9" spans="1:36" x14ac:dyDescent="0.25">
      <c r="A9" s="7">
        <v>45652</v>
      </c>
      <c r="B9" s="8" t="s">
        <v>19</v>
      </c>
      <c r="C9" s="7">
        <v>45687</v>
      </c>
      <c r="D9" s="8" t="s">
        <v>13</v>
      </c>
      <c r="E9" s="8" t="s">
        <v>18</v>
      </c>
      <c r="F9" s="8">
        <v>12550</v>
      </c>
      <c r="G9" s="8">
        <v>23925</v>
      </c>
      <c r="H9" s="8">
        <v>24281.45</v>
      </c>
      <c r="I9" s="6">
        <f t="shared" si="0"/>
        <v>356.45000000000073</v>
      </c>
      <c r="J9" s="6">
        <f t="shared" si="1"/>
        <v>4473447.5000000093</v>
      </c>
      <c r="K9" s="6">
        <f t="shared" si="2"/>
        <v>304732197.5</v>
      </c>
      <c r="L9" s="6">
        <f t="shared" si="3"/>
        <v>300258750</v>
      </c>
      <c r="M9" s="6">
        <f t="shared" si="4"/>
        <v>604990947.5</v>
      </c>
      <c r="N9" s="6">
        <f t="shared" si="6"/>
        <v>60946.4395</v>
      </c>
      <c r="O9" s="6">
        <f t="shared" si="7"/>
        <v>10466.343391750001</v>
      </c>
      <c r="P9" s="6">
        <f t="shared" si="8"/>
        <v>604.99094749999995</v>
      </c>
      <c r="Q9" s="6">
        <f t="shared" si="9"/>
        <v>60051.75</v>
      </c>
      <c r="R9" s="6">
        <f t="shared" si="10"/>
        <v>1992.840181065</v>
      </c>
      <c r="S9" s="6">
        <f t="shared" si="11"/>
        <v>134062.364020315</v>
      </c>
      <c r="T9" s="6">
        <f t="shared" si="5"/>
        <v>4339385.1359796943</v>
      </c>
      <c r="W9" s="2" t="s">
        <v>24</v>
      </c>
      <c r="X9" s="4">
        <v>-2746915.0246647205</v>
      </c>
      <c r="Y9" s="4">
        <v>5937965.3539037108</v>
      </c>
      <c r="Z9" s="4">
        <v>6666748.8289595395</v>
      </c>
      <c r="AA9" s="4">
        <v>28228668.31374668</v>
      </c>
      <c r="AB9" s="4">
        <v>19448491.319997266</v>
      </c>
      <c r="AC9" s="4">
        <v>-8599073.7946658675</v>
      </c>
      <c r="AD9" s="4">
        <v>4382297.6395574072</v>
      </c>
      <c r="AE9" s="4"/>
      <c r="AF9" s="4"/>
      <c r="AG9" s="4"/>
      <c r="AH9" s="4"/>
      <c r="AI9" s="4"/>
      <c r="AJ9" s="4">
        <v>53318182.636834018</v>
      </c>
    </row>
    <row r="10" spans="1:36" x14ac:dyDescent="0.25">
      <c r="A10" s="7">
        <v>45687</v>
      </c>
      <c r="B10" s="8" t="s">
        <v>14</v>
      </c>
      <c r="C10" s="7">
        <v>45715</v>
      </c>
      <c r="D10" s="8" t="s">
        <v>15</v>
      </c>
      <c r="E10" s="8" t="s">
        <v>18</v>
      </c>
      <c r="F10" s="8">
        <v>23100</v>
      </c>
      <c r="G10" s="8">
        <v>11845.7</v>
      </c>
      <c r="H10" s="8">
        <v>10965</v>
      </c>
      <c r="I10" s="6">
        <f t="shared" si="0"/>
        <v>880.70000000000073</v>
      </c>
      <c r="J10" s="6">
        <f t="shared" si="1"/>
        <v>20344170.000000019</v>
      </c>
      <c r="K10" s="6">
        <f t="shared" si="2"/>
        <v>273635670</v>
      </c>
      <c r="L10" s="6">
        <f t="shared" si="3"/>
        <v>253291500</v>
      </c>
      <c r="M10" s="6">
        <f t="shared" si="4"/>
        <v>526927170</v>
      </c>
      <c r="N10" s="6">
        <f t="shared" si="6"/>
        <v>54727.134000000005</v>
      </c>
      <c r="O10" s="6">
        <f t="shared" si="7"/>
        <v>9115.8400409999995</v>
      </c>
      <c r="P10" s="6">
        <f t="shared" si="8"/>
        <v>526.92716999999993</v>
      </c>
      <c r="Q10" s="6">
        <f t="shared" si="9"/>
        <v>50658.3</v>
      </c>
      <c r="R10" s="6">
        <f t="shared" si="10"/>
        <v>1735.6980979799996</v>
      </c>
      <c r="S10" s="6">
        <f t="shared" si="11"/>
        <v>116763.89930898001</v>
      </c>
      <c r="T10" s="6">
        <f t="shared" si="5"/>
        <v>20227406.100691039</v>
      </c>
      <c r="W10" s="2" t="s">
        <v>21</v>
      </c>
      <c r="X10" s="4">
        <v>29102375.113884188</v>
      </c>
      <c r="Y10" s="4">
        <v>15265286.643771073</v>
      </c>
      <c r="Z10" s="4">
        <v>8103115.9005302265</v>
      </c>
      <c r="AA10" s="4">
        <v>38140993.587314233</v>
      </c>
      <c r="AB10" s="4">
        <v>24917619.847240601</v>
      </c>
      <c r="AC10" s="4">
        <v>-2999885.6992186187</v>
      </c>
      <c r="AD10" s="4">
        <v>1193431.1866452722</v>
      </c>
      <c r="AE10" s="4">
        <v>-5681521.3558564549</v>
      </c>
      <c r="AF10" s="4">
        <v>463056.85178789485</v>
      </c>
      <c r="AG10" s="4">
        <v>6061731.156415306</v>
      </c>
      <c r="AH10" s="4">
        <v>20516982.186648309</v>
      </c>
      <c r="AI10" s="4">
        <v>4458169.7571375929</v>
      </c>
      <c r="AJ10" s="4">
        <v>139541355.1762996</v>
      </c>
    </row>
    <row r="11" spans="1:36" x14ac:dyDescent="0.25">
      <c r="A11" s="7">
        <v>45687</v>
      </c>
      <c r="B11" s="8" t="s">
        <v>19</v>
      </c>
      <c r="C11" s="7">
        <v>45715</v>
      </c>
      <c r="D11" s="8" t="s">
        <v>13</v>
      </c>
      <c r="E11" s="8" t="s">
        <v>18</v>
      </c>
      <c r="F11" s="8">
        <v>12550</v>
      </c>
      <c r="G11" s="8">
        <v>23405.1</v>
      </c>
      <c r="H11" s="8">
        <v>22546.75</v>
      </c>
      <c r="I11" s="6">
        <f t="shared" si="0"/>
        <v>-858.34999999999854</v>
      </c>
      <c r="J11" s="6">
        <f t="shared" si="1"/>
        <v>-10772292.499999981</v>
      </c>
      <c r="K11" s="6">
        <f t="shared" si="2"/>
        <v>282961712.5</v>
      </c>
      <c r="L11" s="6">
        <f t="shared" si="3"/>
        <v>293734005</v>
      </c>
      <c r="M11" s="6">
        <f t="shared" si="4"/>
        <v>576695717.5</v>
      </c>
      <c r="N11" s="6">
        <f t="shared" si="6"/>
        <v>56592.342500000006</v>
      </c>
      <c r="O11" s="6">
        <f t="shared" si="7"/>
        <v>9976.8359127500007</v>
      </c>
      <c r="P11" s="6">
        <f t="shared" si="8"/>
        <v>576.6957175</v>
      </c>
      <c r="Q11" s="6">
        <f t="shared" si="9"/>
        <v>58746.800999999999</v>
      </c>
      <c r="R11" s="6">
        <f t="shared" si="10"/>
        <v>1899.6356934450002</v>
      </c>
      <c r="S11" s="6">
        <f t="shared" si="11"/>
        <v>127792.31082369502</v>
      </c>
      <c r="T11" s="6">
        <f t="shared" si="5"/>
        <v>-10900084.810823677</v>
      </c>
    </row>
    <row r="12" spans="1:36" x14ac:dyDescent="0.25">
      <c r="A12" s="7">
        <v>45715</v>
      </c>
      <c r="B12" s="8" t="s">
        <v>14</v>
      </c>
      <c r="C12" s="7">
        <v>45743</v>
      </c>
      <c r="D12" s="8" t="s">
        <v>13</v>
      </c>
      <c r="E12" s="8" t="s">
        <v>18</v>
      </c>
      <c r="F12" s="8">
        <v>27240</v>
      </c>
      <c r="G12" s="8">
        <v>11017.05</v>
      </c>
      <c r="H12" s="8">
        <v>11517.95</v>
      </c>
      <c r="I12" s="6">
        <f t="shared" si="0"/>
        <v>500.90000000000146</v>
      </c>
      <c r="J12" s="6">
        <f t="shared" si="1"/>
        <v>13644516.000000039</v>
      </c>
      <c r="K12" s="6">
        <f t="shared" si="2"/>
        <v>313748958</v>
      </c>
      <c r="L12" s="6">
        <f t="shared" si="3"/>
        <v>300104442</v>
      </c>
      <c r="M12" s="6">
        <f t="shared" si="4"/>
        <v>613853400</v>
      </c>
      <c r="N12" s="6">
        <f t="shared" si="6"/>
        <v>62749.791600000004</v>
      </c>
      <c r="O12" s="6">
        <f t="shared" si="7"/>
        <v>10619.66382</v>
      </c>
      <c r="P12" s="6">
        <f t="shared" si="8"/>
        <v>613.85339999999997</v>
      </c>
      <c r="Q12" s="6">
        <f t="shared" si="9"/>
        <v>60020.888400000003</v>
      </c>
      <c r="R12" s="6">
        <f t="shared" si="10"/>
        <v>2022.0330995999998</v>
      </c>
      <c r="S12" s="6">
        <f t="shared" si="11"/>
        <v>136026.2303196</v>
      </c>
      <c r="T12" s="6">
        <f t="shared" si="5"/>
        <v>13508489.769680439</v>
      </c>
    </row>
    <row r="13" spans="1:36" x14ac:dyDescent="0.25">
      <c r="A13" s="7">
        <v>45715</v>
      </c>
      <c r="B13" s="8" t="s">
        <v>19</v>
      </c>
      <c r="C13" s="7">
        <v>45743</v>
      </c>
      <c r="D13" s="8" t="s">
        <v>15</v>
      </c>
      <c r="E13" s="8" t="s">
        <v>18</v>
      </c>
      <c r="F13" s="8">
        <v>13200</v>
      </c>
      <c r="G13" s="8">
        <v>22686.45</v>
      </c>
      <c r="H13" s="8">
        <v>23590.75</v>
      </c>
      <c r="I13" s="6">
        <f t="shared" si="0"/>
        <v>-904.29999999999927</v>
      </c>
      <c r="J13" s="6">
        <f t="shared" si="1"/>
        <v>-11936759.999999991</v>
      </c>
      <c r="K13" s="6">
        <f t="shared" si="2"/>
        <v>299461140</v>
      </c>
      <c r="L13" s="6">
        <f t="shared" si="3"/>
        <v>311397900</v>
      </c>
      <c r="M13" s="6">
        <f t="shared" si="4"/>
        <v>610859040</v>
      </c>
      <c r="N13" s="6">
        <f t="shared" si="6"/>
        <v>59892.228000000003</v>
      </c>
      <c r="O13" s="6">
        <f t="shared" si="7"/>
        <v>10567.861392000001</v>
      </c>
      <c r="P13" s="6">
        <f t="shared" si="8"/>
        <v>610.85903999999994</v>
      </c>
      <c r="Q13" s="6">
        <f t="shared" si="9"/>
        <v>62279.58</v>
      </c>
      <c r="R13" s="6">
        <f t="shared" si="10"/>
        <v>2012.16967776</v>
      </c>
      <c r="S13" s="6">
        <f t="shared" si="11"/>
        <v>135362.69810976001</v>
      </c>
      <c r="T13" s="6">
        <f t="shared" si="5"/>
        <v>-12072122.698109752</v>
      </c>
    </row>
    <row r="14" spans="1:36" x14ac:dyDescent="0.25">
      <c r="A14" s="7">
        <v>45743</v>
      </c>
      <c r="B14" s="8" t="s">
        <v>14</v>
      </c>
      <c r="C14" s="7">
        <v>45771</v>
      </c>
      <c r="D14" s="8" t="s">
        <v>13</v>
      </c>
      <c r="E14" s="8" t="s">
        <v>18</v>
      </c>
      <c r="F14" s="8">
        <v>27240</v>
      </c>
      <c r="G14" s="8">
        <v>11639</v>
      </c>
      <c r="H14" s="8">
        <v>12251</v>
      </c>
      <c r="I14" s="6">
        <f t="shared" si="0"/>
        <v>612</v>
      </c>
      <c r="J14" s="6">
        <f t="shared" si="1"/>
        <v>16670880</v>
      </c>
      <c r="K14" s="6">
        <f t="shared" si="2"/>
        <v>333717240</v>
      </c>
      <c r="L14" s="6">
        <f t="shared" si="3"/>
        <v>317046360</v>
      </c>
      <c r="M14" s="6">
        <f t="shared" si="4"/>
        <v>650763600</v>
      </c>
      <c r="N14" s="6">
        <f t="shared" si="6"/>
        <v>66743.448000000004</v>
      </c>
      <c r="O14" s="6">
        <f t="shared" si="7"/>
        <v>11258.210280000001</v>
      </c>
      <c r="P14" s="6">
        <f t="shared" si="8"/>
        <v>650.7636</v>
      </c>
      <c r="Q14" s="6">
        <f t="shared" si="9"/>
        <v>63409.272000000004</v>
      </c>
      <c r="R14" s="6">
        <f t="shared" si="10"/>
        <v>2143.6152984</v>
      </c>
      <c r="S14" s="6">
        <f t="shared" si="11"/>
        <v>144205.3091784</v>
      </c>
      <c r="T14" s="6">
        <f t="shared" si="5"/>
        <v>16526674.690821599</v>
      </c>
    </row>
    <row r="15" spans="1:36" x14ac:dyDescent="0.25">
      <c r="A15" s="7">
        <v>45743</v>
      </c>
      <c r="B15" s="8" t="s">
        <v>19</v>
      </c>
      <c r="C15" s="7">
        <v>45771</v>
      </c>
      <c r="D15" s="8" t="s">
        <v>15</v>
      </c>
      <c r="E15" s="8" t="s">
        <v>18</v>
      </c>
      <c r="F15" s="8">
        <v>13200</v>
      </c>
      <c r="G15" s="8">
        <v>23756.05</v>
      </c>
      <c r="H15" s="8">
        <v>24246.5</v>
      </c>
      <c r="I15" s="6">
        <f t="shared" si="0"/>
        <v>-490.45000000000073</v>
      </c>
      <c r="J15" s="6">
        <f t="shared" si="1"/>
        <v>-6473940.0000000093</v>
      </c>
      <c r="K15" s="6">
        <f t="shared" si="2"/>
        <v>313579860</v>
      </c>
      <c r="L15" s="6">
        <f t="shared" si="3"/>
        <v>320053800</v>
      </c>
      <c r="M15" s="6">
        <f t="shared" si="4"/>
        <v>633633660</v>
      </c>
      <c r="N15" s="6">
        <f t="shared" si="6"/>
        <v>62715.972000000002</v>
      </c>
      <c r="O15" s="6">
        <f t="shared" si="7"/>
        <v>10961.862318</v>
      </c>
      <c r="P15" s="6">
        <f t="shared" si="8"/>
        <v>633.63365999999996</v>
      </c>
      <c r="Q15" s="6">
        <f t="shared" si="9"/>
        <v>64010.76</v>
      </c>
      <c r="R15" s="6">
        <f t="shared" si="10"/>
        <v>2087.1892760399996</v>
      </c>
      <c r="S15" s="6">
        <f t="shared" si="11"/>
        <v>140409.41725404002</v>
      </c>
      <c r="T15" s="6">
        <f t="shared" si="5"/>
        <v>-6614349.4172540493</v>
      </c>
    </row>
    <row r="16" spans="1:36" x14ac:dyDescent="0.25">
      <c r="A16" s="7">
        <v>45771</v>
      </c>
      <c r="B16" s="8" t="s">
        <v>14</v>
      </c>
      <c r="C16" s="7">
        <v>45806</v>
      </c>
      <c r="D16" s="8" t="s">
        <v>13</v>
      </c>
      <c r="E16" s="8" t="s">
        <v>18</v>
      </c>
      <c r="F16" s="8">
        <v>27240</v>
      </c>
      <c r="G16" s="8">
        <v>12272.8</v>
      </c>
      <c r="H16" s="8">
        <v>12702.6</v>
      </c>
      <c r="I16" s="6">
        <f t="shared" si="0"/>
        <v>429.80000000000109</v>
      </c>
      <c r="J16" s="6">
        <f t="shared" si="1"/>
        <v>11707752.00000003</v>
      </c>
      <c r="K16" s="6">
        <f t="shared" si="2"/>
        <v>346018824</v>
      </c>
      <c r="L16" s="6">
        <f t="shared" si="3"/>
        <v>334311072</v>
      </c>
      <c r="M16" s="6">
        <f t="shared" si="4"/>
        <v>680329896</v>
      </c>
      <c r="N16" s="6">
        <f t="shared" si="6"/>
        <v>69203.764800000004</v>
      </c>
      <c r="O16" s="6">
        <f t="shared" si="7"/>
        <v>11769.7072008</v>
      </c>
      <c r="P16" s="6">
        <f t="shared" si="8"/>
        <v>680.32989599999996</v>
      </c>
      <c r="Q16" s="6">
        <f t="shared" si="9"/>
        <v>66862.214399999997</v>
      </c>
      <c r="R16" s="6">
        <f t="shared" si="10"/>
        <v>2241.0066774239999</v>
      </c>
      <c r="S16" s="6">
        <f t="shared" si="11"/>
        <v>150757.022974224</v>
      </c>
      <c r="T16" s="6">
        <f t="shared" si="5"/>
        <v>11556994.977025805</v>
      </c>
    </row>
    <row r="17" spans="1:20" x14ac:dyDescent="0.25">
      <c r="A17" s="7">
        <v>45771</v>
      </c>
      <c r="B17" s="8" t="s">
        <v>19</v>
      </c>
      <c r="C17" s="7">
        <v>45806</v>
      </c>
      <c r="D17" s="8" t="s">
        <v>15</v>
      </c>
      <c r="E17" s="8" t="s">
        <v>18</v>
      </c>
      <c r="F17" s="8">
        <v>13200</v>
      </c>
      <c r="G17" s="8">
        <v>24373.9</v>
      </c>
      <c r="H17" s="8">
        <v>24824.2</v>
      </c>
      <c r="I17" s="6">
        <f t="shared" si="0"/>
        <v>-450.29999999999927</v>
      </c>
      <c r="J17" s="6">
        <f t="shared" si="1"/>
        <v>-5943959.9999999907</v>
      </c>
      <c r="K17" s="6">
        <f t="shared" si="2"/>
        <v>321735480</v>
      </c>
      <c r="L17" s="6">
        <f t="shared" si="3"/>
        <v>327679440</v>
      </c>
      <c r="M17" s="6">
        <f t="shared" si="4"/>
        <v>649414920</v>
      </c>
      <c r="N17" s="6">
        <f t="shared" si="6"/>
        <v>64347.096000000005</v>
      </c>
      <c r="O17" s="6">
        <f t="shared" si="7"/>
        <v>11234.878116</v>
      </c>
      <c r="P17" s="6">
        <f t="shared" si="8"/>
        <v>649.41491999999994</v>
      </c>
      <c r="Q17" s="6">
        <f t="shared" si="9"/>
        <v>65535.888000000006</v>
      </c>
      <c r="R17" s="6">
        <f t="shared" si="10"/>
        <v>2139.1727464799997</v>
      </c>
      <c r="S17" s="6">
        <f t="shared" si="11"/>
        <v>143906.44978247999</v>
      </c>
      <c r="T17" s="6">
        <f t="shared" si="5"/>
        <v>-6087866.4497824702</v>
      </c>
    </row>
    <row r="18" spans="1:20" x14ac:dyDescent="0.25">
      <c r="A18" s="7">
        <v>45806</v>
      </c>
      <c r="B18" s="8" t="s">
        <v>14</v>
      </c>
      <c r="C18" s="7">
        <v>45834</v>
      </c>
      <c r="D18" s="8" t="s">
        <v>13</v>
      </c>
      <c r="E18" s="8" t="s">
        <v>18</v>
      </c>
      <c r="F18" s="8">
        <v>27240</v>
      </c>
      <c r="G18" s="8">
        <v>12790</v>
      </c>
      <c r="H18" s="8">
        <v>13300.7</v>
      </c>
      <c r="I18" s="6">
        <f t="shared" si="0"/>
        <v>510.70000000000073</v>
      </c>
      <c r="J18" s="6">
        <f t="shared" si="1"/>
        <v>13911468.00000002</v>
      </c>
      <c r="K18" s="6">
        <f t="shared" si="2"/>
        <v>362311068</v>
      </c>
      <c r="L18" s="6">
        <f t="shared" si="3"/>
        <v>348399600</v>
      </c>
      <c r="M18" s="6">
        <f t="shared" si="4"/>
        <v>710710668</v>
      </c>
      <c r="N18" s="6">
        <f t="shared" si="6"/>
        <v>72462.213600000003</v>
      </c>
      <c r="O18" s="6">
        <f t="shared" si="7"/>
        <v>12295.2945564</v>
      </c>
      <c r="P18" s="6">
        <f t="shared" si="8"/>
        <v>710.71066799999994</v>
      </c>
      <c r="Q18" s="6">
        <f t="shared" si="9"/>
        <v>69679.92</v>
      </c>
      <c r="R18" s="6">
        <f t="shared" si="10"/>
        <v>2341.0809403919998</v>
      </c>
      <c r="S18" s="6">
        <f t="shared" si="11"/>
        <v>157489.21976479201</v>
      </c>
      <c r="T18" s="6">
        <f t="shared" si="5"/>
        <v>13753978.780235229</v>
      </c>
    </row>
    <row r="19" spans="1:20" x14ac:dyDescent="0.25">
      <c r="A19" s="7">
        <v>45806</v>
      </c>
      <c r="B19" s="8" t="s">
        <v>19</v>
      </c>
      <c r="C19" s="7">
        <v>45834</v>
      </c>
      <c r="D19" s="8" t="s">
        <v>15</v>
      </c>
      <c r="E19" s="8" t="s">
        <v>18</v>
      </c>
      <c r="F19" s="8">
        <v>13200</v>
      </c>
      <c r="G19" s="8">
        <v>24939.200000000001</v>
      </c>
      <c r="H19" s="8">
        <v>25545.8</v>
      </c>
      <c r="I19" s="6">
        <f t="shared" si="0"/>
        <v>-606.59999999999854</v>
      </c>
      <c r="J19" s="6">
        <f t="shared" si="1"/>
        <v>-8007119.9999999804</v>
      </c>
      <c r="K19" s="6">
        <f t="shared" si="2"/>
        <v>329197440</v>
      </c>
      <c r="L19" s="6">
        <f t="shared" si="3"/>
        <v>337204560</v>
      </c>
      <c r="M19" s="6">
        <f t="shared" si="4"/>
        <v>666402000</v>
      </c>
      <c r="N19" s="6">
        <f t="shared" si="6"/>
        <v>65839.487999999998</v>
      </c>
      <c r="O19" s="6">
        <f t="shared" si="7"/>
        <v>11528.7546</v>
      </c>
      <c r="P19" s="6">
        <f t="shared" si="8"/>
        <v>666.40199999999993</v>
      </c>
      <c r="Q19" s="6">
        <f t="shared" si="9"/>
        <v>67440.911999999997</v>
      </c>
      <c r="R19" s="6">
        <f t="shared" si="10"/>
        <v>2195.1281880000001</v>
      </c>
      <c r="S19" s="6">
        <f t="shared" si="11"/>
        <v>147670.68478800001</v>
      </c>
      <c r="T19" s="6">
        <f t="shared" si="5"/>
        <v>-8154790.6847879803</v>
      </c>
    </row>
    <row r="20" spans="1:20" x14ac:dyDescent="0.25">
      <c r="A20" s="7">
        <v>45834</v>
      </c>
      <c r="B20" s="8" t="s">
        <v>14</v>
      </c>
      <c r="C20" s="7">
        <v>45869</v>
      </c>
      <c r="D20" s="8" t="s">
        <v>13</v>
      </c>
      <c r="E20" s="8" t="s">
        <v>18</v>
      </c>
      <c r="F20" s="8">
        <v>27240</v>
      </c>
      <c r="G20" s="8">
        <v>13382.05</v>
      </c>
      <c r="H20" s="8">
        <v>12869.55</v>
      </c>
      <c r="I20" s="6">
        <f t="shared" si="0"/>
        <v>-512.5</v>
      </c>
      <c r="J20" s="6">
        <f t="shared" si="1"/>
        <v>-13960500</v>
      </c>
      <c r="K20" s="6">
        <f t="shared" si="2"/>
        <v>350566542</v>
      </c>
      <c r="L20" s="6">
        <f t="shared" si="3"/>
        <v>364527042</v>
      </c>
      <c r="M20" s="6">
        <f t="shared" si="4"/>
        <v>715093584</v>
      </c>
      <c r="N20" s="6">
        <f t="shared" si="6"/>
        <v>70113.308400000009</v>
      </c>
      <c r="O20" s="6">
        <f t="shared" si="7"/>
        <v>12371.119003199999</v>
      </c>
      <c r="P20" s="6">
        <f t="shared" si="8"/>
        <v>715.09358399999996</v>
      </c>
      <c r="Q20" s="6">
        <f t="shared" si="9"/>
        <v>72905.4084</v>
      </c>
      <c r="R20" s="6">
        <f t="shared" si="10"/>
        <v>2355.5182656960001</v>
      </c>
      <c r="S20" s="6">
        <f t="shared" si="11"/>
        <v>158460.44765289602</v>
      </c>
      <c r="T20" s="6">
        <f t="shared" si="5"/>
        <v>-14118960.447652897</v>
      </c>
    </row>
    <row r="21" spans="1:20" x14ac:dyDescent="0.25">
      <c r="A21" s="7">
        <v>45834</v>
      </c>
      <c r="B21" s="8" t="s">
        <v>19</v>
      </c>
      <c r="C21" s="7">
        <v>45869</v>
      </c>
      <c r="D21" s="8" t="s">
        <v>15</v>
      </c>
      <c r="E21" s="8" t="s">
        <v>18</v>
      </c>
      <c r="F21" s="8">
        <v>13200</v>
      </c>
      <c r="G21" s="8">
        <v>25606.6</v>
      </c>
      <c r="H21" s="8">
        <v>24767.4</v>
      </c>
      <c r="I21" s="6">
        <f t="shared" si="0"/>
        <v>839.19999999999709</v>
      </c>
      <c r="J21" s="6">
        <f t="shared" si="1"/>
        <v>11077439.999999961</v>
      </c>
      <c r="K21" s="6">
        <f t="shared" si="2"/>
        <v>338007120</v>
      </c>
      <c r="L21" s="6">
        <f t="shared" si="3"/>
        <v>326929680</v>
      </c>
      <c r="M21" s="6">
        <f t="shared" si="4"/>
        <v>664936800</v>
      </c>
      <c r="N21" s="6">
        <f t="shared" si="6"/>
        <v>67601.423999999999</v>
      </c>
      <c r="O21" s="6">
        <f t="shared" si="7"/>
        <v>11503.406640000001</v>
      </c>
      <c r="P21" s="6">
        <f t="shared" si="8"/>
        <v>664.93679999999995</v>
      </c>
      <c r="Q21" s="6">
        <f t="shared" si="9"/>
        <v>65385.936000000002</v>
      </c>
      <c r="R21" s="6">
        <f t="shared" si="10"/>
        <v>2190.3018192</v>
      </c>
      <c r="S21" s="6">
        <f t="shared" si="11"/>
        <v>147346.0052592</v>
      </c>
      <c r="T21" s="6">
        <f t="shared" si="5"/>
        <v>10930093.994740762</v>
      </c>
    </row>
    <row r="22" spans="1:20" x14ac:dyDescent="0.25">
      <c r="A22" s="7">
        <v>45869</v>
      </c>
      <c r="B22" s="8" t="s">
        <v>14</v>
      </c>
      <c r="C22" s="7">
        <v>45897</v>
      </c>
      <c r="D22" s="8" t="s">
        <v>13</v>
      </c>
      <c r="E22" s="8" t="s">
        <v>18</v>
      </c>
      <c r="F22" s="8">
        <v>27240</v>
      </c>
      <c r="G22" s="8">
        <v>12911.3</v>
      </c>
      <c r="H22" s="8">
        <v>12536.6</v>
      </c>
      <c r="I22" s="6">
        <f t="shared" si="0"/>
        <v>-374.69999999999891</v>
      </c>
      <c r="J22" s="6">
        <f t="shared" si="1"/>
        <v>-10206827.99999997</v>
      </c>
      <c r="K22" s="6">
        <f t="shared" si="2"/>
        <v>341496984</v>
      </c>
      <c r="L22" s="6">
        <f t="shared" si="3"/>
        <v>351703812</v>
      </c>
      <c r="M22" s="6">
        <f t="shared" si="4"/>
        <v>693200796</v>
      </c>
      <c r="N22" s="6">
        <f t="shared" si="6"/>
        <v>68299.396800000002</v>
      </c>
      <c r="O22" s="6">
        <f t="shared" si="7"/>
        <v>11992.373770800001</v>
      </c>
      <c r="P22" s="6">
        <f t="shared" si="8"/>
        <v>693.20079599999997</v>
      </c>
      <c r="Q22" s="6">
        <f t="shared" si="9"/>
        <v>70340.762400000007</v>
      </c>
      <c r="R22" s="6">
        <f t="shared" si="10"/>
        <v>2283.4034220240001</v>
      </c>
      <c r="S22" s="6">
        <f t="shared" si="11"/>
        <v>153609.13718882404</v>
      </c>
      <c r="T22" s="6">
        <f t="shared" si="5"/>
        <v>-10360437.137188794</v>
      </c>
    </row>
    <row r="23" spans="1:20" x14ac:dyDescent="0.25">
      <c r="A23" s="7">
        <v>45869</v>
      </c>
      <c r="B23" s="8" t="s">
        <v>19</v>
      </c>
      <c r="C23" s="7">
        <v>45897</v>
      </c>
      <c r="D23" s="8" t="s">
        <v>15</v>
      </c>
      <c r="E23" s="8" t="s">
        <v>18</v>
      </c>
      <c r="F23" s="8">
        <v>13200</v>
      </c>
      <c r="G23" s="8">
        <v>24860</v>
      </c>
      <c r="H23" s="8">
        <v>24494.6</v>
      </c>
      <c r="I23" s="6">
        <f t="shared" si="0"/>
        <v>365.40000000000146</v>
      </c>
      <c r="J23" s="6">
        <f t="shared" si="1"/>
        <v>4823280.0000000196</v>
      </c>
      <c r="K23" s="6">
        <f t="shared" si="2"/>
        <v>328152000</v>
      </c>
      <c r="L23" s="6">
        <f t="shared" si="3"/>
        <v>323328720</v>
      </c>
      <c r="M23" s="6">
        <f t="shared" si="4"/>
        <v>651480720</v>
      </c>
      <c r="N23" s="6">
        <f t="shared" si="6"/>
        <v>65630.400000000009</v>
      </c>
      <c r="O23" s="6">
        <f t="shared" si="7"/>
        <v>11270.616456</v>
      </c>
      <c r="P23" s="6">
        <f t="shared" si="8"/>
        <v>651.48072000000002</v>
      </c>
      <c r="Q23" s="6">
        <f t="shared" si="9"/>
        <v>64665.744000000006</v>
      </c>
      <c r="R23" s="6">
        <f t="shared" si="10"/>
        <v>2145.9774916799997</v>
      </c>
      <c r="S23" s="6">
        <f t="shared" si="11"/>
        <v>144364.21866768005</v>
      </c>
      <c r="T23" s="6">
        <f t="shared" si="5"/>
        <v>4678915.7813323392</v>
      </c>
    </row>
    <row r="24" spans="1:20" x14ac:dyDescent="0.25">
      <c r="A24" s="7">
        <v>45897</v>
      </c>
      <c r="B24" s="8" t="s">
        <v>14</v>
      </c>
      <c r="C24" s="7">
        <v>45930</v>
      </c>
      <c r="D24" s="8" t="s">
        <v>13</v>
      </c>
      <c r="E24" s="8" t="s">
        <v>18</v>
      </c>
      <c r="F24" s="8">
        <v>27240</v>
      </c>
      <c r="G24" s="8">
        <v>12590.35</v>
      </c>
      <c r="H24" s="8">
        <v>12600</v>
      </c>
      <c r="I24" s="6">
        <f t="shared" si="0"/>
        <v>9.6499999999996362</v>
      </c>
      <c r="J24" s="6">
        <f t="shared" si="1"/>
        <v>262865.9999999901</v>
      </c>
      <c r="K24" s="6">
        <f t="shared" si="2"/>
        <v>343224000</v>
      </c>
      <c r="L24" s="6">
        <f t="shared" si="3"/>
        <v>342961134</v>
      </c>
      <c r="M24" s="6">
        <f t="shared" si="4"/>
        <v>686185134</v>
      </c>
      <c r="N24" s="6">
        <f t="shared" si="6"/>
        <v>68644.800000000003</v>
      </c>
      <c r="O24" s="6">
        <f t="shared" si="7"/>
        <v>11871.002818200001</v>
      </c>
      <c r="P24" s="6">
        <f t="shared" si="8"/>
        <v>686.18513399999995</v>
      </c>
      <c r="Q24" s="6">
        <f t="shared" si="9"/>
        <v>68592.226800000004</v>
      </c>
      <c r="R24" s="6">
        <f t="shared" si="10"/>
        <v>2260.2938313959999</v>
      </c>
      <c r="S24" s="6">
        <f t="shared" si="11"/>
        <v>152054.50858359601</v>
      </c>
      <c r="T24" s="6">
        <f t="shared" si="5"/>
        <v>110811.4914163941</v>
      </c>
    </row>
    <row r="25" spans="1:20" x14ac:dyDescent="0.25">
      <c r="A25" s="7">
        <v>45897</v>
      </c>
      <c r="B25" s="8" t="s">
        <v>19</v>
      </c>
      <c r="C25" s="7">
        <v>45930</v>
      </c>
      <c r="D25" s="8" t="s">
        <v>15</v>
      </c>
      <c r="E25" s="8" t="s">
        <v>18</v>
      </c>
      <c r="F25" s="8">
        <v>13200</v>
      </c>
      <c r="G25" s="8">
        <v>24646.6</v>
      </c>
      <c r="H25" s="8">
        <v>24609</v>
      </c>
      <c r="I25" s="6">
        <f t="shared" si="0"/>
        <v>37.599999999998545</v>
      </c>
      <c r="J25" s="6">
        <f t="shared" si="1"/>
        <v>496319.99999998079</v>
      </c>
      <c r="K25" s="6">
        <f t="shared" si="2"/>
        <v>325335120</v>
      </c>
      <c r="L25" s="6">
        <f t="shared" si="3"/>
        <v>324838800</v>
      </c>
      <c r="M25" s="6">
        <f t="shared" si="4"/>
        <v>650173920</v>
      </c>
      <c r="N25" s="6">
        <f t="shared" si="6"/>
        <v>65067.024000000005</v>
      </c>
      <c r="O25" s="6">
        <f t="shared" si="7"/>
        <v>11248.008816</v>
      </c>
      <c r="P25" s="6">
        <f t="shared" si="8"/>
        <v>650.17391999999995</v>
      </c>
      <c r="Q25" s="6">
        <f t="shared" si="9"/>
        <v>64967.76</v>
      </c>
      <c r="R25" s="6">
        <f t="shared" si="10"/>
        <v>2141.6728924799995</v>
      </c>
      <c r="S25" s="6">
        <f t="shared" si="11"/>
        <v>144074.63962848001</v>
      </c>
      <c r="T25" s="6">
        <f t="shared" si="5"/>
        <v>352245.36037150078</v>
      </c>
    </row>
    <row r="26" spans="1:20" x14ac:dyDescent="0.25">
      <c r="A26" s="7">
        <v>45930</v>
      </c>
      <c r="B26" s="8" t="s">
        <v>14</v>
      </c>
      <c r="C26" s="7">
        <v>45958</v>
      </c>
      <c r="D26" s="8" t="s">
        <v>13</v>
      </c>
      <c r="E26" s="8" t="s">
        <v>18</v>
      </c>
      <c r="F26" s="8">
        <v>27240</v>
      </c>
      <c r="G26" s="8">
        <v>12663.3</v>
      </c>
      <c r="H26" s="8">
        <v>13366</v>
      </c>
      <c r="I26" s="6">
        <f t="shared" si="0"/>
        <v>702.70000000000073</v>
      </c>
      <c r="J26" s="6">
        <f t="shared" si="1"/>
        <v>19141548.000000019</v>
      </c>
      <c r="K26" s="6">
        <f t="shared" si="2"/>
        <v>364089840</v>
      </c>
      <c r="L26" s="6">
        <f t="shared" si="3"/>
        <v>344948292</v>
      </c>
      <c r="M26" s="6">
        <f t="shared" si="4"/>
        <v>709038132</v>
      </c>
      <c r="N26" s="6">
        <f t="shared" si="6"/>
        <v>72817.968000000008</v>
      </c>
      <c r="O26" s="6">
        <f t="shared" si="7"/>
        <v>12266.3596836</v>
      </c>
      <c r="P26" s="6">
        <f t="shared" si="8"/>
        <v>709.03813200000002</v>
      </c>
      <c r="Q26" s="6">
        <f t="shared" si="9"/>
        <v>68989.6584</v>
      </c>
      <c r="R26" s="6">
        <f t="shared" si="10"/>
        <v>2335.5716068079996</v>
      </c>
      <c r="S26" s="6">
        <f t="shared" si="11"/>
        <v>157118.59582240801</v>
      </c>
      <c r="T26" s="6">
        <f t="shared" si="5"/>
        <v>18984429.40417761</v>
      </c>
    </row>
    <row r="27" spans="1:20" x14ac:dyDescent="0.25">
      <c r="A27" s="7">
        <v>45930</v>
      </c>
      <c r="B27" s="8" t="s">
        <v>19</v>
      </c>
      <c r="C27" s="7">
        <v>45958</v>
      </c>
      <c r="D27" s="8" t="s">
        <v>15</v>
      </c>
      <c r="E27" s="8" t="s">
        <v>18</v>
      </c>
      <c r="F27" s="8">
        <v>13200</v>
      </c>
      <c r="G27" s="8">
        <v>24771.200000000001</v>
      </c>
      <c r="H27" s="8">
        <v>25940</v>
      </c>
      <c r="I27" s="6">
        <f t="shared" si="0"/>
        <v>-1168.7999999999993</v>
      </c>
      <c r="J27" s="6">
        <f t="shared" si="1"/>
        <v>-15428159.999999991</v>
      </c>
      <c r="K27" s="6">
        <f t="shared" si="2"/>
        <v>326979840</v>
      </c>
      <c r="L27" s="6">
        <f t="shared" si="3"/>
        <v>342408000</v>
      </c>
      <c r="M27" s="6">
        <f t="shared" si="4"/>
        <v>669387840</v>
      </c>
      <c r="N27" s="6">
        <f t="shared" si="6"/>
        <v>65395.968000000001</v>
      </c>
      <c r="O27" s="6">
        <f t="shared" si="7"/>
        <v>11580.409632000001</v>
      </c>
      <c r="P27" s="6">
        <f t="shared" si="8"/>
        <v>669.38783999999998</v>
      </c>
      <c r="Q27" s="6">
        <f t="shared" si="9"/>
        <v>68481.600000000006</v>
      </c>
      <c r="R27" s="6">
        <f t="shared" si="10"/>
        <v>2204.96354496</v>
      </c>
      <c r="S27" s="6">
        <f t="shared" si="11"/>
        <v>148332.32901695999</v>
      </c>
      <c r="T27" s="6">
        <f t="shared" si="5"/>
        <v>-15576492.32901695</v>
      </c>
    </row>
    <row r="28" spans="1:20" x14ac:dyDescent="0.25">
      <c r="A28" s="7">
        <v>45958</v>
      </c>
      <c r="B28" s="8" t="s">
        <v>14</v>
      </c>
      <c r="C28" s="7">
        <v>45986</v>
      </c>
      <c r="D28" s="8" t="s">
        <v>13</v>
      </c>
      <c r="E28" s="8" t="s">
        <v>18</v>
      </c>
      <c r="F28" s="8">
        <v>27240</v>
      </c>
      <c r="G28" s="8">
        <v>13443.45</v>
      </c>
      <c r="H28" s="8">
        <v>13809.65</v>
      </c>
      <c r="I28" s="6">
        <f t="shared" si="0"/>
        <v>366.19999999999891</v>
      </c>
      <c r="J28" s="6">
        <f t="shared" si="1"/>
        <v>9975287.9999999702</v>
      </c>
      <c r="K28" s="6">
        <f t="shared" si="2"/>
        <v>376174866</v>
      </c>
      <c r="L28" s="6">
        <f t="shared" si="3"/>
        <v>366199578</v>
      </c>
      <c r="M28" s="6">
        <f t="shared" si="4"/>
        <v>742374444</v>
      </c>
      <c r="N28" s="6">
        <f t="shared" si="6"/>
        <v>75234.973200000008</v>
      </c>
      <c r="O28" s="6">
        <f t="shared" si="7"/>
        <v>12843.077881200001</v>
      </c>
      <c r="P28" s="6">
        <f t="shared" si="8"/>
        <v>742.37444399999993</v>
      </c>
      <c r="Q28" s="6">
        <f t="shared" si="9"/>
        <v>73239.915600000008</v>
      </c>
      <c r="R28" s="6">
        <f t="shared" si="10"/>
        <v>2445.3814185359997</v>
      </c>
      <c r="S28" s="6">
        <f t="shared" si="11"/>
        <v>164505.72254373605</v>
      </c>
      <c r="T28" s="6">
        <f t="shared" si="5"/>
        <v>9810782.2774562333</v>
      </c>
    </row>
    <row r="29" spans="1:20" x14ac:dyDescent="0.25">
      <c r="A29" s="7">
        <v>45958</v>
      </c>
      <c r="B29" s="8" t="s">
        <v>19</v>
      </c>
      <c r="C29" s="7">
        <v>45986</v>
      </c>
      <c r="D29" s="8" t="s">
        <v>15</v>
      </c>
      <c r="E29" s="8" t="s">
        <v>18</v>
      </c>
      <c r="F29" s="8">
        <v>13200</v>
      </c>
      <c r="G29" s="8">
        <v>26099</v>
      </c>
      <c r="H29" s="8">
        <v>25889.9</v>
      </c>
      <c r="I29" s="6">
        <f t="shared" si="0"/>
        <v>209.09999999999854</v>
      </c>
      <c r="J29" s="6">
        <f t="shared" si="1"/>
        <v>2760119.9999999809</v>
      </c>
      <c r="K29" s="6">
        <f t="shared" si="2"/>
        <v>344506800</v>
      </c>
      <c r="L29" s="6">
        <f t="shared" si="3"/>
        <v>341746680</v>
      </c>
      <c r="M29" s="6">
        <f t="shared" si="4"/>
        <v>686253480</v>
      </c>
      <c r="N29" s="6">
        <f t="shared" si="6"/>
        <v>68901.36</v>
      </c>
      <c r="O29" s="6">
        <f t="shared" si="7"/>
        <v>11872.185203999999</v>
      </c>
      <c r="P29" s="6">
        <f t="shared" si="8"/>
        <v>686.25347999999997</v>
      </c>
      <c r="Q29" s="6">
        <f t="shared" si="9"/>
        <v>68349.33600000001</v>
      </c>
      <c r="R29" s="6">
        <f t="shared" si="10"/>
        <v>2260.5189631199996</v>
      </c>
      <c r="S29" s="6">
        <f t="shared" si="11"/>
        <v>152069.65364711999</v>
      </c>
      <c r="T29" s="6">
        <f t="shared" si="5"/>
        <v>2608050.3463528608</v>
      </c>
    </row>
    <row r="30" spans="1:20" x14ac:dyDescent="0.25">
      <c r="A30" s="7">
        <v>45986</v>
      </c>
      <c r="B30" s="8" t="s">
        <v>14</v>
      </c>
      <c r="C30" s="7">
        <v>46021</v>
      </c>
      <c r="D30" s="8" t="s">
        <v>13</v>
      </c>
      <c r="E30" s="8" t="s">
        <v>18</v>
      </c>
      <c r="F30" s="8">
        <v>27240</v>
      </c>
      <c r="G30" s="8">
        <v>13901.8</v>
      </c>
      <c r="H30" s="8">
        <v>13600</v>
      </c>
      <c r="I30" s="6">
        <f t="shared" si="0"/>
        <v>-301.79999999999927</v>
      </c>
      <c r="J30" s="6">
        <f t="shared" si="1"/>
        <v>-8221031.9999999804</v>
      </c>
      <c r="K30" s="6">
        <f t="shared" si="2"/>
        <v>370464000</v>
      </c>
      <c r="L30" s="6">
        <f t="shared" si="3"/>
        <v>378685032</v>
      </c>
      <c r="M30" s="6">
        <f t="shared" si="4"/>
        <v>749149032</v>
      </c>
      <c r="N30" s="6">
        <f t="shared" si="6"/>
        <v>74092.800000000003</v>
      </c>
      <c r="O30" s="6">
        <f t="shared" si="7"/>
        <v>12960.2782536</v>
      </c>
      <c r="P30" s="6">
        <f t="shared" si="8"/>
        <v>749.14903199999992</v>
      </c>
      <c r="Q30" s="6">
        <f t="shared" si="9"/>
        <v>75737.006399999998</v>
      </c>
      <c r="R30" s="6">
        <f t="shared" si="10"/>
        <v>2467.6969114079998</v>
      </c>
      <c r="S30" s="6">
        <f t="shared" si="11"/>
        <v>166006.930597008</v>
      </c>
      <c r="T30" s="6">
        <f t="shared" si="5"/>
        <v>-8387038.9305969886</v>
      </c>
    </row>
    <row r="31" spans="1:20" x14ac:dyDescent="0.25">
      <c r="A31" s="7">
        <v>45986</v>
      </c>
      <c r="B31" s="8" t="s">
        <v>19</v>
      </c>
      <c r="C31" s="7">
        <v>46021</v>
      </c>
      <c r="D31" s="8" t="s">
        <v>15</v>
      </c>
      <c r="E31" s="8" t="s">
        <v>18</v>
      </c>
      <c r="F31" s="8">
        <v>13200</v>
      </c>
      <c r="G31" s="8">
        <v>26059.9</v>
      </c>
      <c r="H31" s="8">
        <v>25936.7</v>
      </c>
      <c r="I31" s="6">
        <f t="shared" si="0"/>
        <v>123.20000000000073</v>
      </c>
      <c r="J31" s="6">
        <f t="shared" si="1"/>
        <v>1626240.0000000095</v>
      </c>
      <c r="K31" s="6">
        <f t="shared" si="2"/>
        <v>343990680</v>
      </c>
      <c r="L31" s="6">
        <f t="shared" si="3"/>
        <v>342364440</v>
      </c>
      <c r="M31" s="6">
        <f t="shared" si="4"/>
        <v>686355120</v>
      </c>
      <c r="N31" s="6">
        <f t="shared" si="6"/>
        <v>68798.135999999999</v>
      </c>
      <c r="O31" s="6">
        <f t="shared" si="7"/>
        <v>11873.943576</v>
      </c>
      <c r="P31" s="6">
        <f t="shared" si="8"/>
        <v>686.35511999999994</v>
      </c>
      <c r="Q31" s="6">
        <f t="shared" si="9"/>
        <v>68472.888000000006</v>
      </c>
      <c r="R31" s="6">
        <f t="shared" si="10"/>
        <v>2260.8537652800001</v>
      </c>
      <c r="S31" s="6">
        <f t="shared" si="11"/>
        <v>152092.17646127997</v>
      </c>
      <c r="T31" s="6">
        <f t="shared" si="5"/>
        <v>1474147.8235387295</v>
      </c>
    </row>
    <row r="32" spans="1:20" x14ac:dyDescent="0.25">
      <c r="A32" s="7">
        <v>46021</v>
      </c>
      <c r="B32" s="8" t="s">
        <v>14</v>
      </c>
      <c r="C32" s="7">
        <v>46049</v>
      </c>
      <c r="D32" s="8" t="s">
        <v>13</v>
      </c>
      <c r="E32" s="8" t="s">
        <v>18</v>
      </c>
      <c r="F32" s="8">
        <v>27240</v>
      </c>
      <c r="G32" s="8">
        <v>13667.55</v>
      </c>
      <c r="H32" s="10">
        <v>13120.95</v>
      </c>
      <c r="I32" s="6">
        <f t="shared" si="0"/>
        <v>-546.59999999999854</v>
      </c>
      <c r="J32" s="6">
        <f t="shared" si="1"/>
        <v>-14889383.999999961</v>
      </c>
      <c r="K32" s="6">
        <f t="shared" si="2"/>
        <v>357414678</v>
      </c>
      <c r="L32" s="6">
        <f t="shared" si="3"/>
        <v>372304062</v>
      </c>
      <c r="M32" s="6">
        <f t="shared" si="4"/>
        <v>729718740</v>
      </c>
      <c r="N32" s="6">
        <f t="shared" si="6"/>
        <v>71482.935599999997</v>
      </c>
      <c r="O32" s="6">
        <f t="shared" si="7"/>
        <v>12624.134202000001</v>
      </c>
      <c r="P32" s="6">
        <f t="shared" si="8"/>
        <v>729.71873999999991</v>
      </c>
      <c r="Q32" s="6">
        <f t="shared" si="9"/>
        <v>74460.81240000001</v>
      </c>
      <c r="R32" s="6">
        <f t="shared" si="10"/>
        <v>2403.6935295600001</v>
      </c>
      <c r="S32" s="6">
        <f t="shared" si="11"/>
        <v>161701.29447155999</v>
      </c>
      <c r="T32" s="6">
        <f t="shared" si="5"/>
        <v>-15051085.294471521</v>
      </c>
    </row>
    <row r="33" spans="1:22" x14ac:dyDescent="0.25">
      <c r="A33" s="7">
        <v>46021</v>
      </c>
      <c r="B33" s="8" t="s">
        <v>19</v>
      </c>
      <c r="C33" s="7">
        <v>46049</v>
      </c>
      <c r="D33" s="8" t="s">
        <v>15</v>
      </c>
      <c r="E33" s="8" t="s">
        <v>18</v>
      </c>
      <c r="F33" s="8">
        <v>13200</v>
      </c>
      <c r="G33" s="8">
        <v>26117.5</v>
      </c>
      <c r="H33" s="10">
        <v>25174</v>
      </c>
      <c r="I33" s="6">
        <f t="shared" si="0"/>
        <v>943.5</v>
      </c>
      <c r="J33" s="6">
        <f t="shared" si="1"/>
        <v>12454200</v>
      </c>
      <c r="K33" s="6">
        <f t="shared" si="2"/>
        <v>344751000</v>
      </c>
      <c r="L33" s="6">
        <f t="shared" si="3"/>
        <v>332296800</v>
      </c>
      <c r="M33" s="6">
        <f t="shared" si="4"/>
        <v>677047800</v>
      </c>
      <c r="N33" s="6">
        <f t="shared" si="6"/>
        <v>68950.2</v>
      </c>
      <c r="O33" s="6">
        <f t="shared" si="7"/>
        <v>11712.926939999999</v>
      </c>
      <c r="P33" s="6">
        <f t="shared" si="8"/>
        <v>677.04779999999994</v>
      </c>
      <c r="Q33" s="6">
        <f t="shared" si="9"/>
        <v>66459.360000000001</v>
      </c>
      <c r="R33" s="6">
        <f t="shared" si="10"/>
        <v>2230.1954532</v>
      </c>
      <c r="S33" s="6">
        <f t="shared" si="11"/>
        <v>150029.7301932</v>
      </c>
      <c r="T33" s="6">
        <f t="shared" si="5"/>
        <v>12304170.2698068</v>
      </c>
    </row>
    <row r="34" spans="1:22" x14ac:dyDescent="0.25">
      <c r="A34" s="7">
        <v>46049</v>
      </c>
      <c r="B34" s="8" t="s">
        <v>14</v>
      </c>
      <c r="C34" s="7">
        <v>46077</v>
      </c>
      <c r="D34" s="8" t="s">
        <v>13</v>
      </c>
      <c r="E34" s="8" t="s">
        <v>18</v>
      </c>
      <c r="F34" s="8">
        <v>27240</v>
      </c>
      <c r="G34" s="10">
        <v>13191.85</v>
      </c>
      <c r="H34" s="8">
        <v>13441.4</v>
      </c>
      <c r="I34" s="6">
        <f t="shared" si="0"/>
        <v>249.54999999999927</v>
      </c>
      <c r="J34" s="6">
        <f t="shared" si="1"/>
        <v>6797741.9999999804</v>
      </c>
      <c r="K34" s="6">
        <f t="shared" si="2"/>
        <v>366143736</v>
      </c>
      <c r="L34" s="6">
        <f t="shared" si="3"/>
        <v>359345994</v>
      </c>
      <c r="M34" s="6">
        <f t="shared" si="4"/>
        <v>725489730</v>
      </c>
      <c r="N34" s="6">
        <f t="shared" si="6"/>
        <v>73228.747199999998</v>
      </c>
      <c r="O34" s="6">
        <f t="shared" si="7"/>
        <v>12550.972329</v>
      </c>
      <c r="P34" s="6">
        <f t="shared" si="8"/>
        <v>725.48973000000001</v>
      </c>
      <c r="Q34" s="6">
        <f t="shared" si="9"/>
        <v>71869.198799999998</v>
      </c>
      <c r="R34" s="6">
        <f t="shared" si="10"/>
        <v>2389.76317062</v>
      </c>
      <c r="S34" s="6">
        <f t="shared" si="11"/>
        <v>160764.17122961997</v>
      </c>
      <c r="T34" s="6">
        <f t="shared" si="5"/>
        <v>6636977.8287703609</v>
      </c>
    </row>
    <row r="35" spans="1:22" x14ac:dyDescent="0.25">
      <c r="A35" s="7">
        <v>46049</v>
      </c>
      <c r="B35" s="8" t="s">
        <v>19</v>
      </c>
      <c r="C35" s="7">
        <v>46077</v>
      </c>
      <c r="D35" s="8" t="s">
        <v>15</v>
      </c>
      <c r="E35" s="8" t="s">
        <v>18</v>
      </c>
      <c r="F35" s="8">
        <v>13200</v>
      </c>
      <c r="G35" s="10">
        <v>25375.8</v>
      </c>
      <c r="H35" s="8">
        <v>25417.5</v>
      </c>
      <c r="I35" s="6">
        <f t="shared" si="0"/>
        <v>-41.700000000000728</v>
      </c>
      <c r="J35" s="6">
        <f t="shared" si="1"/>
        <v>-550440.00000000955</v>
      </c>
      <c r="K35" s="6">
        <f t="shared" si="2"/>
        <v>334960560</v>
      </c>
      <c r="L35" s="6">
        <f t="shared" si="3"/>
        <v>335511000</v>
      </c>
      <c r="M35" s="6">
        <f t="shared" si="4"/>
        <v>670471560</v>
      </c>
      <c r="N35" s="6">
        <f t="shared" si="6"/>
        <v>66992.112000000008</v>
      </c>
      <c r="O35" s="6">
        <f t="shared" si="7"/>
        <v>11599.157988000001</v>
      </c>
      <c r="P35" s="6">
        <f t="shared" si="8"/>
        <v>670.47155999999995</v>
      </c>
      <c r="Q35" s="6">
        <f t="shared" si="9"/>
        <v>67102.2</v>
      </c>
      <c r="R35" s="6">
        <f t="shared" si="10"/>
        <v>2208.5333186400003</v>
      </c>
      <c r="S35" s="6">
        <f t="shared" si="11"/>
        <v>148572.47486664003</v>
      </c>
      <c r="T35" s="6">
        <f t="shared" si="5"/>
        <v>-699012.4748666496</v>
      </c>
    </row>
    <row r="36" spans="1:22" x14ac:dyDescent="0.25">
      <c r="A36" s="7">
        <v>46077</v>
      </c>
      <c r="B36" s="8" t="s">
        <v>14</v>
      </c>
      <c r="C36" s="7">
        <v>46111</v>
      </c>
      <c r="D36" s="8" t="s">
        <v>13</v>
      </c>
      <c r="E36" s="8" t="s">
        <v>18</v>
      </c>
      <c r="F36" s="8">
        <v>27240</v>
      </c>
      <c r="G36" s="8">
        <v>13490.5</v>
      </c>
      <c r="H36" s="8">
        <v>12164.3</v>
      </c>
      <c r="I36" s="6">
        <f t="shared" si="0"/>
        <v>-1326.2000000000007</v>
      </c>
      <c r="J36" s="6">
        <f t="shared" si="1"/>
        <v>-36125688.000000022</v>
      </c>
      <c r="K36" s="6">
        <f t="shared" si="2"/>
        <v>331355532</v>
      </c>
      <c r="L36" s="6">
        <f t="shared" si="3"/>
        <v>367481220</v>
      </c>
      <c r="M36" s="6">
        <f t="shared" si="4"/>
        <v>698836752</v>
      </c>
      <c r="N36" s="6">
        <f t="shared" si="6"/>
        <v>66271.106400000004</v>
      </c>
      <c r="O36" s="6">
        <f t="shared" si="7"/>
        <v>12089.8758096</v>
      </c>
      <c r="P36" s="6">
        <f t="shared" si="8"/>
        <v>698.83675199999993</v>
      </c>
      <c r="Q36" s="6">
        <f t="shared" si="9"/>
        <v>73496.244000000006</v>
      </c>
      <c r="R36" s="6">
        <f t="shared" si="10"/>
        <v>2301.968261088</v>
      </c>
      <c r="S36" s="6">
        <f t="shared" si="11"/>
        <v>154858.03122268803</v>
      </c>
      <c r="T36" s="6">
        <f t="shared" si="5"/>
        <v>-36280546.031222709</v>
      </c>
    </row>
    <row r="37" spans="1:22" x14ac:dyDescent="0.25">
      <c r="A37" s="7">
        <v>46077</v>
      </c>
      <c r="B37" s="8" t="s">
        <v>19</v>
      </c>
      <c r="C37" s="7">
        <v>46111</v>
      </c>
      <c r="D37" s="8" t="s">
        <v>15</v>
      </c>
      <c r="E37" s="8" t="s">
        <v>18</v>
      </c>
      <c r="F37" s="8">
        <v>13200</v>
      </c>
      <c r="G37" s="8">
        <v>25588.2</v>
      </c>
      <c r="H37" s="8">
        <v>22324</v>
      </c>
      <c r="I37" s="6">
        <f t="shared" si="0"/>
        <v>3264.2000000000007</v>
      </c>
      <c r="J37" s="6">
        <f t="shared" si="1"/>
        <v>43087440.000000007</v>
      </c>
      <c r="K37" s="6">
        <f t="shared" si="2"/>
        <v>337764240</v>
      </c>
      <c r="L37" s="6">
        <f t="shared" si="3"/>
        <v>294676800</v>
      </c>
      <c r="M37" s="6">
        <f t="shared" si="4"/>
        <v>632441040</v>
      </c>
      <c r="N37" s="6">
        <f t="shared" si="6"/>
        <v>67552.847999999998</v>
      </c>
      <c r="O37" s="6">
        <f t="shared" si="7"/>
        <v>10941.229992</v>
      </c>
      <c r="P37" s="6">
        <f t="shared" si="8"/>
        <v>632.44103999999993</v>
      </c>
      <c r="Q37" s="6">
        <f t="shared" si="9"/>
        <v>58935.360000000001</v>
      </c>
      <c r="R37" s="6">
        <f t="shared" si="10"/>
        <v>2083.2607857600001</v>
      </c>
      <c r="S37" s="6">
        <f t="shared" si="11"/>
        <v>140145.13981776003</v>
      </c>
      <c r="T37" s="6">
        <f t="shared" si="5"/>
        <v>42947294.860182248</v>
      </c>
    </row>
    <row r="38" spans="1:22" x14ac:dyDescent="0.25">
      <c r="A38" s="7">
        <v>46111</v>
      </c>
      <c r="B38" s="8" t="s">
        <v>14</v>
      </c>
      <c r="C38" s="7">
        <v>46140</v>
      </c>
      <c r="D38" s="8" t="s">
        <v>13</v>
      </c>
      <c r="E38" s="8" t="s">
        <v>18</v>
      </c>
      <c r="F38" s="8">
        <v>27240</v>
      </c>
      <c r="G38" s="8">
        <v>12160.65</v>
      </c>
      <c r="H38" s="8">
        <v>13970</v>
      </c>
      <c r="I38" s="6">
        <f t="shared" si="0"/>
        <v>1809.3500000000004</v>
      </c>
      <c r="J38" s="6">
        <f t="shared" si="1"/>
        <v>49286694.000000007</v>
      </c>
      <c r="K38" s="6">
        <f t="shared" si="2"/>
        <v>380542800</v>
      </c>
      <c r="L38" s="6">
        <f t="shared" si="3"/>
        <v>331256106</v>
      </c>
      <c r="M38" s="6">
        <f t="shared" si="4"/>
        <v>711798906</v>
      </c>
      <c r="N38" s="6">
        <f>K38*0.05%</f>
        <v>190271.4</v>
      </c>
      <c r="O38" s="6">
        <f t="shared" si="7"/>
        <v>12314.121073800001</v>
      </c>
      <c r="P38" s="6">
        <f t="shared" si="8"/>
        <v>711.79890599999999</v>
      </c>
      <c r="Q38" s="6">
        <f t="shared" si="9"/>
        <v>66251.2212</v>
      </c>
      <c r="R38" s="6">
        <f t="shared" si="10"/>
        <v>2344.6655963640001</v>
      </c>
      <c r="S38" s="6">
        <f t="shared" si="11"/>
        <v>271893.20677616401</v>
      </c>
      <c r="T38" s="6">
        <f t="shared" si="5"/>
        <v>49014800.793223843</v>
      </c>
    </row>
    <row r="39" spans="1:22" x14ac:dyDescent="0.25">
      <c r="A39" s="7">
        <v>46111</v>
      </c>
      <c r="B39" s="8" t="s">
        <v>19</v>
      </c>
      <c r="C39" s="7">
        <v>46140</v>
      </c>
      <c r="D39" s="8" t="s">
        <v>15</v>
      </c>
      <c r="E39" s="8" t="s">
        <v>18</v>
      </c>
      <c r="F39" s="8">
        <v>13200</v>
      </c>
      <c r="G39" s="8">
        <v>22419.4</v>
      </c>
      <c r="H39" s="8">
        <v>23977.1</v>
      </c>
      <c r="I39" s="6">
        <f t="shared" si="0"/>
        <v>-1557.6999999999971</v>
      </c>
      <c r="J39" s="6">
        <f t="shared" si="1"/>
        <v>-20561639.999999963</v>
      </c>
      <c r="K39" s="6">
        <f t="shared" si="2"/>
        <v>295936080</v>
      </c>
      <c r="L39" s="6">
        <f t="shared" si="3"/>
        <v>316497720</v>
      </c>
      <c r="M39" s="6">
        <f t="shared" si="4"/>
        <v>612433800</v>
      </c>
      <c r="N39" s="6">
        <f t="shared" ref="N39:N45" si="12">K39*0.05%</f>
        <v>147968.04</v>
      </c>
      <c r="O39" s="6">
        <f t="shared" si="7"/>
        <v>10595.104740000001</v>
      </c>
      <c r="P39" s="6">
        <f t="shared" si="8"/>
        <v>612.43380000000002</v>
      </c>
      <c r="Q39" s="6">
        <f t="shared" si="9"/>
        <v>63299.544000000002</v>
      </c>
      <c r="R39" s="6">
        <f t="shared" si="10"/>
        <v>2017.3569372000002</v>
      </c>
      <c r="S39" s="6">
        <f t="shared" si="11"/>
        <v>224492.47947720002</v>
      </c>
      <c r="T39" s="6">
        <f t="shared" si="5"/>
        <v>-20786132.479477163</v>
      </c>
    </row>
    <row r="40" spans="1:22" x14ac:dyDescent="0.25">
      <c r="A40" s="7">
        <v>46140</v>
      </c>
      <c r="B40" s="8" t="s">
        <v>14</v>
      </c>
      <c r="C40" s="7">
        <v>46168</v>
      </c>
      <c r="D40" s="8" t="s">
        <v>13</v>
      </c>
      <c r="E40" s="8" t="s">
        <v>18</v>
      </c>
      <c r="F40" s="8">
        <v>27240</v>
      </c>
      <c r="G40" s="8">
        <v>14010</v>
      </c>
      <c r="H40" s="8">
        <v>14676.6</v>
      </c>
      <c r="I40" s="6">
        <f t="shared" si="0"/>
        <v>666.60000000000036</v>
      </c>
      <c r="J40" s="6">
        <f t="shared" si="1"/>
        <v>18158184.000000011</v>
      </c>
      <c r="K40" s="6">
        <f t="shared" si="2"/>
        <v>399790584</v>
      </c>
      <c r="L40" s="6">
        <f t="shared" si="3"/>
        <v>381632400</v>
      </c>
      <c r="M40" s="6">
        <f t="shared" si="4"/>
        <v>781422984</v>
      </c>
      <c r="N40" s="6">
        <f t="shared" si="12"/>
        <v>199895.29200000002</v>
      </c>
      <c r="O40" s="6">
        <f t="shared" si="7"/>
        <v>13518.6176232</v>
      </c>
      <c r="P40" s="6">
        <f t="shared" si="8"/>
        <v>781.42298399999993</v>
      </c>
      <c r="Q40" s="6">
        <f t="shared" si="9"/>
        <v>76326.48000000001</v>
      </c>
      <c r="R40" s="6">
        <f t="shared" si="10"/>
        <v>2574.0073092960001</v>
      </c>
      <c r="S40" s="6">
        <f t="shared" si="11"/>
        <v>293095.819916496</v>
      </c>
      <c r="T40" s="6">
        <f t="shared" si="5"/>
        <v>17865088.180083517</v>
      </c>
    </row>
    <row r="41" spans="1:22" x14ac:dyDescent="0.25">
      <c r="A41" s="7">
        <v>46140</v>
      </c>
      <c r="B41" s="8" t="s">
        <v>19</v>
      </c>
      <c r="C41" s="7">
        <v>46168</v>
      </c>
      <c r="D41" s="8" t="s">
        <v>15</v>
      </c>
      <c r="E41" s="8" t="s">
        <v>18</v>
      </c>
      <c r="F41" s="8">
        <v>13200</v>
      </c>
      <c r="G41" s="8">
        <v>24052.799999999999</v>
      </c>
      <c r="H41" s="8">
        <v>23915</v>
      </c>
      <c r="I41" s="6">
        <f t="shared" si="0"/>
        <v>137.79999999999927</v>
      </c>
      <c r="J41" s="6">
        <f t="shared" si="1"/>
        <v>1818959.9999999905</v>
      </c>
      <c r="K41" s="6">
        <f t="shared" si="2"/>
        <v>317496960</v>
      </c>
      <c r="L41" s="6">
        <f t="shared" si="3"/>
        <v>315678000</v>
      </c>
      <c r="M41" s="6">
        <f t="shared" si="4"/>
        <v>633174960</v>
      </c>
      <c r="N41" s="6">
        <f t="shared" si="12"/>
        <v>158748.48000000001</v>
      </c>
      <c r="O41" s="6">
        <f t="shared" si="7"/>
        <v>10953.926808</v>
      </c>
      <c r="P41" s="6">
        <f t="shared" si="8"/>
        <v>633.17495999999994</v>
      </c>
      <c r="Q41" s="6">
        <f t="shared" si="9"/>
        <v>63135.600000000006</v>
      </c>
      <c r="R41" s="6">
        <f t="shared" si="10"/>
        <v>2085.67831824</v>
      </c>
      <c r="S41" s="6">
        <f t="shared" si="11"/>
        <v>235556.86008624002</v>
      </c>
      <c r="T41" s="6">
        <f t="shared" si="5"/>
        <v>1583403.1399137503</v>
      </c>
    </row>
    <row r="42" spans="1:22" x14ac:dyDescent="0.25">
      <c r="A42" s="7">
        <v>46168</v>
      </c>
      <c r="B42" s="14" t="s">
        <v>14</v>
      </c>
      <c r="C42" s="15">
        <v>46203</v>
      </c>
      <c r="D42" s="14" t="s">
        <v>13</v>
      </c>
      <c r="E42" s="14" t="s">
        <v>18</v>
      </c>
      <c r="F42" s="14">
        <v>27240</v>
      </c>
      <c r="G42" s="14">
        <v>14777</v>
      </c>
      <c r="H42" s="14">
        <v>14426.35</v>
      </c>
      <c r="I42" s="6">
        <f t="shared" si="0"/>
        <v>-350.64999999999964</v>
      </c>
      <c r="J42" s="6">
        <f t="shared" si="1"/>
        <v>-9551705.9999999907</v>
      </c>
      <c r="K42" s="6">
        <f t="shared" si="2"/>
        <v>392973774</v>
      </c>
      <c r="L42" s="6">
        <f t="shared" si="3"/>
        <v>402525480</v>
      </c>
      <c r="M42" s="6">
        <f t="shared" si="4"/>
        <v>795499254</v>
      </c>
      <c r="N42" s="6">
        <f t="shared" si="12"/>
        <v>196486.88700000002</v>
      </c>
      <c r="O42" s="6">
        <f t="shared" si="7"/>
        <v>13762.137094199999</v>
      </c>
      <c r="P42" s="6">
        <f t="shared" si="8"/>
        <v>795.49925399999995</v>
      </c>
      <c r="Q42" s="6">
        <f t="shared" si="9"/>
        <v>80505.096000000005</v>
      </c>
      <c r="R42" s="6">
        <f t="shared" si="10"/>
        <v>2620.3745426759997</v>
      </c>
      <c r="S42" s="6">
        <f t="shared" si="11"/>
        <v>294169.99389087607</v>
      </c>
      <c r="T42" s="6">
        <f t="shared" si="5"/>
        <v>-9845875.9938908666</v>
      </c>
    </row>
    <row r="43" spans="1:22" x14ac:dyDescent="0.25">
      <c r="A43" s="7">
        <v>46168</v>
      </c>
      <c r="B43" s="14" t="s">
        <v>19</v>
      </c>
      <c r="C43" s="15">
        <v>46203</v>
      </c>
      <c r="D43" s="14" t="s">
        <v>15</v>
      </c>
      <c r="E43" s="14" t="s">
        <v>18</v>
      </c>
      <c r="F43" s="14">
        <v>13200</v>
      </c>
      <c r="G43" s="14">
        <v>23978</v>
      </c>
      <c r="H43" s="14">
        <v>23865.75</v>
      </c>
      <c r="I43" s="6">
        <f t="shared" si="0"/>
        <v>112.25</v>
      </c>
      <c r="J43" s="6">
        <f t="shared" si="1"/>
        <v>1481700</v>
      </c>
      <c r="K43" s="6">
        <f t="shared" si="2"/>
        <v>316509600</v>
      </c>
      <c r="L43" s="6">
        <f t="shared" si="3"/>
        <v>315027900</v>
      </c>
      <c r="M43" s="6">
        <f t="shared" si="4"/>
        <v>631537500</v>
      </c>
      <c r="N43" s="6">
        <f t="shared" si="12"/>
        <v>158254.80000000002</v>
      </c>
      <c r="O43" s="6">
        <f t="shared" si="7"/>
        <v>10925.598750000001</v>
      </c>
      <c r="P43" s="6">
        <f t="shared" si="8"/>
        <v>631.53750000000002</v>
      </c>
      <c r="Q43" s="6">
        <f t="shared" si="9"/>
        <v>63005.58</v>
      </c>
      <c r="R43" s="6">
        <f t="shared" si="10"/>
        <v>2080.284525</v>
      </c>
      <c r="S43" s="6">
        <f t="shared" si="11"/>
        <v>234897.80077500004</v>
      </c>
      <c r="T43" s="6">
        <f t="shared" si="5"/>
        <v>1246802.1992249999</v>
      </c>
    </row>
    <row r="44" spans="1:22" x14ac:dyDescent="0.25">
      <c r="A44" s="7">
        <v>46203</v>
      </c>
      <c r="B44" s="14" t="s">
        <v>14</v>
      </c>
      <c r="C44" s="15">
        <v>46231</v>
      </c>
      <c r="D44" s="14" t="s">
        <v>13</v>
      </c>
      <c r="E44" s="14" t="s">
        <v>18</v>
      </c>
      <c r="F44" s="14">
        <v>27240</v>
      </c>
      <c r="G44" s="14">
        <v>14511.15</v>
      </c>
      <c r="H44" s="14">
        <v>14686.8</v>
      </c>
      <c r="I44" s="6">
        <f t="shared" si="0"/>
        <v>175.64999999999964</v>
      </c>
      <c r="J44" s="6">
        <f t="shared" si="1"/>
        <v>4784705.9999999898</v>
      </c>
      <c r="K44" s="6">
        <f t="shared" si="2"/>
        <v>400068432</v>
      </c>
      <c r="L44" s="6">
        <f t="shared" si="3"/>
        <v>395283726</v>
      </c>
      <c r="M44" s="6">
        <f t="shared" si="4"/>
        <v>795352158</v>
      </c>
      <c r="N44" s="6">
        <f t="shared" si="12"/>
        <v>200034.21600000001</v>
      </c>
      <c r="O44" s="6">
        <f t="shared" si="7"/>
        <v>13759.5923334</v>
      </c>
      <c r="P44" s="6">
        <f t="shared" si="8"/>
        <v>795.35215799999992</v>
      </c>
      <c r="Q44" s="6">
        <f t="shared" si="9"/>
        <v>79056.745200000005</v>
      </c>
      <c r="R44" s="6">
        <f t="shared" si="10"/>
        <v>2619.8900084519996</v>
      </c>
      <c r="S44" s="6">
        <f t="shared" si="11"/>
        <v>296265.79569985205</v>
      </c>
      <c r="T44" s="6">
        <f t="shared" si="5"/>
        <v>4488440.2043001372</v>
      </c>
    </row>
    <row r="45" spans="1:22" x14ac:dyDescent="0.25">
      <c r="A45" s="7">
        <v>46203</v>
      </c>
      <c r="B45" s="14" t="s">
        <v>19</v>
      </c>
      <c r="C45" s="15">
        <v>46231</v>
      </c>
      <c r="D45" s="14" t="s">
        <v>15</v>
      </c>
      <c r="E45" s="14" t="s">
        <v>18</v>
      </c>
      <c r="F45" s="14">
        <v>13200</v>
      </c>
      <c r="G45" s="14">
        <v>24009.1</v>
      </c>
      <c r="H45" s="14">
        <v>23999.3</v>
      </c>
      <c r="I45" s="6">
        <f t="shared" si="0"/>
        <v>9.7999999999992724</v>
      </c>
      <c r="J45" s="6">
        <f t="shared" si="1"/>
        <v>129359.9999999904</v>
      </c>
      <c r="K45" s="6">
        <f t="shared" si="2"/>
        <v>316920120</v>
      </c>
      <c r="L45" s="6">
        <f t="shared" si="3"/>
        <v>316790760</v>
      </c>
      <c r="M45" s="6">
        <f t="shared" si="4"/>
        <v>633710880</v>
      </c>
      <c r="N45" s="6">
        <f t="shared" si="12"/>
        <v>158460.06</v>
      </c>
      <c r="O45" s="6">
        <f t="shared" si="7"/>
        <v>10963.198224</v>
      </c>
      <c r="P45" s="6">
        <f t="shared" si="8"/>
        <v>633.71087999999997</v>
      </c>
      <c r="Q45" s="6">
        <f t="shared" si="9"/>
        <v>63358.152000000002</v>
      </c>
      <c r="R45" s="6">
        <f t="shared" si="10"/>
        <v>2087.4436387199999</v>
      </c>
      <c r="S45" s="6">
        <f t="shared" si="11"/>
        <v>235502.56474271999</v>
      </c>
      <c r="T45" s="6">
        <f t="shared" si="5"/>
        <v>-106142.56474272959</v>
      </c>
    </row>
    <row r="48" spans="1:22" x14ac:dyDescent="0.25">
      <c r="V48">
        <v>450000</v>
      </c>
    </row>
    <row r="49" spans="15:22" x14ac:dyDescent="0.25">
      <c r="V49">
        <v>107000</v>
      </c>
    </row>
    <row r="50" spans="15:22" x14ac:dyDescent="0.25">
      <c r="V50" s="9">
        <f>V49/V48</f>
        <v>0.23777777777777778</v>
      </c>
    </row>
    <row r="52" spans="15:22" x14ac:dyDescent="0.25">
      <c r="O52" s="13"/>
    </row>
  </sheetData>
  <conditionalFormatting pivot="1" sqref="X7:AJ10">
    <cfRule type="cellIs" dxfId="7" priority="2" operator="lessThan">
      <formula>0</formula>
    </cfRule>
  </conditionalFormatting>
  <conditionalFormatting pivot="1" sqref="X7:AJ10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0.42578125" bestFit="1" customWidth="1"/>
    <col min="4" max="4" width="13.5703125" customWidth="1"/>
    <col min="5" max="5" width="9.7109375" customWidth="1"/>
    <col min="6" max="6" width="12" customWidth="1"/>
    <col min="7" max="7" width="13.7109375" customWidth="1"/>
    <col min="8" max="8" width="12" customWidth="1"/>
    <col min="9" max="9" width="8.140625" bestFit="1" customWidth="1"/>
    <col min="10" max="10" width="14.7109375" customWidth="1"/>
    <col min="11" max="11" width="13.42578125" customWidth="1"/>
    <col min="12" max="12" width="14.42578125" customWidth="1"/>
    <col min="13" max="13" width="16.5703125" customWidth="1"/>
    <col min="14" max="14" width="11.85546875" customWidth="1"/>
    <col min="15" max="15" width="13" customWidth="1"/>
    <col min="16" max="16" width="15" customWidth="1"/>
    <col min="17" max="17" width="13.28515625" customWidth="1"/>
    <col min="18" max="18" width="10" customWidth="1"/>
    <col min="19" max="19" width="17.140625" customWidth="1"/>
    <col min="20" max="20" width="14" customWidth="1"/>
    <col min="23" max="23" width="16.42578125" bestFit="1" customWidth="1"/>
    <col min="24" max="24" width="16.28515625" bestFit="1" customWidth="1"/>
    <col min="25" max="25" width="11.5703125" bestFit="1" customWidth="1"/>
    <col min="26" max="26" width="10" bestFit="1" customWidth="1"/>
    <col min="27" max="28" width="11.5703125" bestFit="1" customWidth="1"/>
    <col min="29" max="31" width="10.7109375" bestFit="1" customWidth="1"/>
    <col min="32" max="32" width="9" bestFit="1" customWidth="1"/>
    <col min="33" max="33" width="10" bestFit="1" customWidth="1"/>
    <col min="34" max="35" width="11.5703125" bestFit="1" customWidth="1"/>
    <col min="36" max="36" width="12.5703125" bestFit="1" customWidth="1"/>
  </cols>
  <sheetData>
    <row r="1" spans="1:2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39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</v>
      </c>
      <c r="N1" s="11" t="s">
        <v>40</v>
      </c>
      <c r="O1" s="11" t="s">
        <v>41</v>
      </c>
      <c r="P1" s="11" t="s">
        <v>42</v>
      </c>
      <c r="Q1" s="11" t="s">
        <v>43</v>
      </c>
      <c r="R1" s="11" t="s">
        <v>44</v>
      </c>
      <c r="S1" s="5" t="s">
        <v>17</v>
      </c>
      <c r="T1" s="5" t="s">
        <v>12</v>
      </c>
    </row>
    <row r="2" spans="1:21" x14ac:dyDescent="0.25">
      <c r="A2" s="7">
        <v>45561</v>
      </c>
      <c r="B2" s="14" t="s">
        <v>14</v>
      </c>
      <c r="C2" s="15">
        <v>45593</v>
      </c>
      <c r="D2" s="14" t="s">
        <v>13</v>
      </c>
      <c r="E2" s="14" t="s">
        <v>18</v>
      </c>
      <c r="F2" s="14">
        <v>22500</v>
      </c>
      <c r="G2" s="14">
        <v>13337.1</v>
      </c>
      <c r="H2" s="14">
        <v>12402.65</v>
      </c>
      <c r="I2" s="6">
        <f t="shared" ref="I2:I43" si="0">IF(D2="Short",G2-H2,H2-G2)</f>
        <v>-934.45000000000073</v>
      </c>
      <c r="J2" s="6">
        <f t="shared" ref="J2:J43" si="1">I2*F2</f>
        <v>-21025125.000000015</v>
      </c>
      <c r="K2" s="6">
        <f t="shared" ref="K2:K43" si="2">IF(D2="Short",F2*G2,F2*H2)</f>
        <v>279059625</v>
      </c>
      <c r="L2" s="6">
        <f t="shared" ref="L2:L43" si="3">IF(D2="Short",F2*H2,G2*F2)</f>
        <v>300084750</v>
      </c>
      <c r="M2" s="6">
        <f t="shared" ref="M2:M43" si="4">K2+L2</f>
        <v>579144375</v>
      </c>
      <c r="N2" s="6">
        <f>K2*0.02%</f>
        <v>55811.925000000003</v>
      </c>
      <c r="O2" s="6">
        <f>M2*0.00173%</f>
        <v>10019.1976875</v>
      </c>
      <c r="P2" s="6">
        <f>M2*0.0001%</f>
        <v>579.14437499999997</v>
      </c>
      <c r="Q2" s="6">
        <f>L2*0.02%</f>
        <v>60016.950000000004</v>
      </c>
      <c r="R2" s="6">
        <f>(O2+P2)*18%</f>
        <v>1907.7015712499999</v>
      </c>
      <c r="S2" s="6">
        <f>SUM(N2:R2)</f>
        <v>128334.91863375001</v>
      </c>
      <c r="T2" s="6">
        <f t="shared" ref="T2:T43" si="5">J2-S2</f>
        <v>-21153459.918633766</v>
      </c>
      <c r="U2" s="12"/>
    </row>
    <row r="3" spans="1:21" x14ac:dyDescent="0.25">
      <c r="A3" s="7">
        <v>45561</v>
      </c>
      <c r="B3" s="14" t="s">
        <v>19</v>
      </c>
      <c r="C3" s="15">
        <v>45596</v>
      </c>
      <c r="D3" s="14" t="s">
        <v>15</v>
      </c>
      <c r="E3" s="14" t="s">
        <v>18</v>
      </c>
      <c r="F3" s="14">
        <v>11400</v>
      </c>
      <c r="G3" s="14">
        <v>26308.55</v>
      </c>
      <c r="H3" s="14">
        <v>24209</v>
      </c>
      <c r="I3" s="6">
        <f t="shared" si="0"/>
        <v>2099.5499999999993</v>
      </c>
      <c r="J3" s="6">
        <f t="shared" si="1"/>
        <v>23934869.999999993</v>
      </c>
      <c r="K3" s="6">
        <f t="shared" si="2"/>
        <v>299917470</v>
      </c>
      <c r="L3" s="6">
        <f t="shared" si="3"/>
        <v>275982600</v>
      </c>
      <c r="M3" s="6">
        <f t="shared" si="4"/>
        <v>575900070</v>
      </c>
      <c r="N3" s="6">
        <f t="shared" ref="N3:N37" si="6">K3*0.02%</f>
        <v>59983.494000000006</v>
      </c>
      <c r="O3" s="6">
        <f t="shared" ref="O3:O43" si="7">M3*0.00173%</f>
        <v>9963.0712110000004</v>
      </c>
      <c r="P3" s="6">
        <f t="shared" ref="P3:P43" si="8">M3*0.0001%</f>
        <v>575.90007000000003</v>
      </c>
      <c r="Q3" s="6">
        <f t="shared" ref="Q3:Q43" si="9">L3*0.02%</f>
        <v>55196.520000000004</v>
      </c>
      <c r="R3" s="6">
        <f t="shared" ref="R3:R43" si="10">(O3+P3)*18%</f>
        <v>1897.0148305799999</v>
      </c>
      <c r="S3" s="6">
        <f t="shared" ref="S3:S43" si="11">SUM(N3:R3)</f>
        <v>127616.00011158001</v>
      </c>
      <c r="T3" s="6">
        <f t="shared" si="5"/>
        <v>23807253.999888413</v>
      </c>
    </row>
    <row r="4" spans="1:21" x14ac:dyDescent="0.25">
      <c r="A4" s="7">
        <v>45593</v>
      </c>
      <c r="B4" s="14" t="s">
        <v>14</v>
      </c>
      <c r="C4" s="15">
        <v>45621</v>
      </c>
      <c r="D4" s="14" t="s">
        <v>13</v>
      </c>
      <c r="E4" s="14" t="s">
        <v>18</v>
      </c>
      <c r="F4" s="14">
        <v>22500</v>
      </c>
      <c r="G4" s="14">
        <v>12454.45</v>
      </c>
      <c r="H4" s="14">
        <v>12573.65</v>
      </c>
      <c r="I4" s="6">
        <f t="shared" si="0"/>
        <v>119.19999999999891</v>
      </c>
      <c r="J4" s="6">
        <f t="shared" si="1"/>
        <v>2681999.9999999753</v>
      </c>
      <c r="K4" s="6">
        <f t="shared" si="2"/>
        <v>282907125</v>
      </c>
      <c r="L4" s="6">
        <f t="shared" si="3"/>
        <v>280225125</v>
      </c>
      <c r="M4" s="6">
        <f t="shared" si="4"/>
        <v>563132250</v>
      </c>
      <c r="N4" s="6">
        <f t="shared" si="6"/>
        <v>56581.425000000003</v>
      </c>
      <c r="O4" s="6">
        <f t="shared" si="7"/>
        <v>9742.1879250000002</v>
      </c>
      <c r="P4" s="6">
        <f t="shared" si="8"/>
        <v>563.13225</v>
      </c>
      <c r="Q4" s="6">
        <f t="shared" si="9"/>
        <v>56045.025000000001</v>
      </c>
      <c r="R4" s="6">
        <f t="shared" si="10"/>
        <v>1854.9576315000002</v>
      </c>
      <c r="S4" s="6">
        <f t="shared" si="11"/>
        <v>124786.72780650001</v>
      </c>
      <c r="T4" s="6">
        <f t="shared" si="5"/>
        <v>2557213.2721934752</v>
      </c>
    </row>
    <row r="5" spans="1:21" x14ac:dyDescent="0.25">
      <c r="A5" s="7">
        <v>45596</v>
      </c>
      <c r="B5" s="14" t="s">
        <v>19</v>
      </c>
      <c r="C5" s="15">
        <v>45624</v>
      </c>
      <c r="D5" s="14" t="s">
        <v>15</v>
      </c>
      <c r="E5" s="14" t="s">
        <v>18</v>
      </c>
      <c r="F5" s="14">
        <v>11400</v>
      </c>
      <c r="G5" s="14">
        <v>24398.3</v>
      </c>
      <c r="H5" s="14">
        <v>23901.55</v>
      </c>
      <c r="I5" s="6">
        <f t="shared" si="0"/>
        <v>496.75</v>
      </c>
      <c r="J5" s="6">
        <f t="shared" si="1"/>
        <v>5662950</v>
      </c>
      <c r="K5" s="6">
        <f t="shared" si="2"/>
        <v>278140620</v>
      </c>
      <c r="L5" s="6">
        <f t="shared" si="3"/>
        <v>272477670</v>
      </c>
      <c r="M5" s="6">
        <f t="shared" si="4"/>
        <v>550618290</v>
      </c>
      <c r="N5" s="6">
        <f t="shared" si="6"/>
        <v>55628.124000000003</v>
      </c>
      <c r="O5" s="6">
        <f t="shared" si="7"/>
        <v>9525.696417000001</v>
      </c>
      <c r="P5" s="6">
        <f t="shared" si="8"/>
        <v>550.61829</v>
      </c>
      <c r="Q5" s="6">
        <f t="shared" si="9"/>
        <v>54495.534</v>
      </c>
      <c r="R5" s="6">
        <f t="shared" si="10"/>
        <v>1813.7366472600002</v>
      </c>
      <c r="S5" s="6">
        <f t="shared" si="11"/>
        <v>122013.70935426001</v>
      </c>
      <c r="T5" s="6">
        <f t="shared" si="5"/>
        <v>5540936.29064574</v>
      </c>
    </row>
    <row r="6" spans="1:21" x14ac:dyDescent="0.25">
      <c r="A6" s="7">
        <v>45621</v>
      </c>
      <c r="B6" s="14" t="s">
        <v>14</v>
      </c>
      <c r="C6" s="15">
        <v>45656</v>
      </c>
      <c r="D6" s="14" t="s">
        <v>13</v>
      </c>
      <c r="E6" s="14" t="s">
        <v>18</v>
      </c>
      <c r="F6" s="14">
        <v>22500</v>
      </c>
      <c r="G6" s="14">
        <v>12660</v>
      </c>
      <c r="H6" s="14">
        <v>12993</v>
      </c>
      <c r="I6" s="6">
        <f t="shared" si="0"/>
        <v>333</v>
      </c>
      <c r="J6" s="6">
        <f t="shared" si="1"/>
        <v>7492500</v>
      </c>
      <c r="K6" s="6">
        <f t="shared" si="2"/>
        <v>292342500</v>
      </c>
      <c r="L6" s="6">
        <f t="shared" si="3"/>
        <v>284850000</v>
      </c>
      <c r="M6" s="6">
        <f t="shared" si="4"/>
        <v>577192500</v>
      </c>
      <c r="N6" s="6">
        <f t="shared" si="6"/>
        <v>58468.5</v>
      </c>
      <c r="O6" s="6">
        <f t="shared" si="7"/>
        <v>9985.4302499999994</v>
      </c>
      <c r="P6" s="6">
        <f t="shared" si="8"/>
        <v>577.1925</v>
      </c>
      <c r="Q6" s="6">
        <f t="shared" si="9"/>
        <v>56970</v>
      </c>
      <c r="R6" s="6">
        <f t="shared" si="10"/>
        <v>1901.2720949999996</v>
      </c>
      <c r="S6" s="6">
        <f t="shared" si="11"/>
        <v>127902.394845</v>
      </c>
      <c r="T6" s="6">
        <f t="shared" si="5"/>
        <v>7364597.6051550005</v>
      </c>
    </row>
    <row r="7" spans="1:21" x14ac:dyDescent="0.25">
      <c r="A7" s="7">
        <v>45624</v>
      </c>
      <c r="B7" s="14" t="s">
        <v>19</v>
      </c>
      <c r="C7" s="15">
        <v>45652</v>
      </c>
      <c r="D7" s="14" t="s">
        <v>15</v>
      </c>
      <c r="E7" s="14" t="s">
        <v>18</v>
      </c>
      <c r="F7" s="14">
        <v>11400</v>
      </c>
      <c r="G7" s="14">
        <v>24111.85</v>
      </c>
      <c r="H7" s="14">
        <v>23749.8</v>
      </c>
      <c r="I7" s="6">
        <f t="shared" si="0"/>
        <v>362.04999999999927</v>
      </c>
      <c r="J7" s="6">
        <f t="shared" si="1"/>
        <v>4127369.9999999916</v>
      </c>
      <c r="K7" s="6">
        <f t="shared" si="2"/>
        <v>274875090</v>
      </c>
      <c r="L7" s="6">
        <f t="shared" si="3"/>
        <v>270747720</v>
      </c>
      <c r="M7" s="6">
        <f t="shared" si="4"/>
        <v>545622810</v>
      </c>
      <c r="N7" s="6">
        <f t="shared" si="6"/>
        <v>54975.018000000004</v>
      </c>
      <c r="O7" s="6">
        <f t="shared" si="7"/>
        <v>9439.2746129999996</v>
      </c>
      <c r="P7" s="6">
        <f t="shared" si="8"/>
        <v>545.62280999999996</v>
      </c>
      <c r="Q7" s="6">
        <f t="shared" si="9"/>
        <v>54149.544000000002</v>
      </c>
      <c r="R7" s="6">
        <f t="shared" si="10"/>
        <v>1797.2815361400001</v>
      </c>
      <c r="S7" s="6">
        <f t="shared" si="11"/>
        <v>120906.74095914001</v>
      </c>
      <c r="T7" s="6">
        <f t="shared" si="5"/>
        <v>4006463.2590408516</v>
      </c>
    </row>
    <row r="8" spans="1:21" x14ac:dyDescent="0.25">
      <c r="A8" s="7">
        <v>45656</v>
      </c>
      <c r="B8" s="14" t="s">
        <v>14</v>
      </c>
      <c r="C8" s="15">
        <v>45687</v>
      </c>
      <c r="D8" s="14" t="s">
        <v>15</v>
      </c>
      <c r="E8" s="14" t="s">
        <v>18</v>
      </c>
      <c r="F8" s="14">
        <v>23100</v>
      </c>
      <c r="G8" s="14">
        <v>12997.05</v>
      </c>
      <c r="H8" s="14">
        <v>11800.65</v>
      </c>
      <c r="I8" s="6">
        <f t="shared" si="0"/>
        <v>1196.3999999999996</v>
      </c>
      <c r="J8" s="6">
        <f t="shared" si="1"/>
        <v>27636839.999999993</v>
      </c>
      <c r="K8" s="6">
        <f t="shared" si="2"/>
        <v>300231855</v>
      </c>
      <c r="L8" s="6">
        <f t="shared" si="3"/>
        <v>272595015</v>
      </c>
      <c r="M8" s="6">
        <f t="shared" si="4"/>
        <v>572826870</v>
      </c>
      <c r="N8" s="6">
        <f t="shared" si="6"/>
        <v>60046.371000000006</v>
      </c>
      <c r="O8" s="6">
        <f t="shared" si="7"/>
        <v>9909.9048509999993</v>
      </c>
      <c r="P8" s="6">
        <f t="shared" si="8"/>
        <v>572.82686999999999</v>
      </c>
      <c r="Q8" s="6">
        <f t="shared" si="9"/>
        <v>54519.003000000004</v>
      </c>
      <c r="R8" s="6">
        <f t="shared" si="10"/>
        <v>1886.8917097799999</v>
      </c>
      <c r="S8" s="6">
        <f t="shared" si="11"/>
        <v>126934.99743078003</v>
      </c>
      <c r="T8" s="6">
        <f t="shared" si="5"/>
        <v>27509905.002569214</v>
      </c>
    </row>
    <row r="9" spans="1:21" x14ac:dyDescent="0.25">
      <c r="A9" s="7">
        <v>45652</v>
      </c>
      <c r="B9" s="14" t="s">
        <v>19</v>
      </c>
      <c r="C9" s="15">
        <v>45687</v>
      </c>
      <c r="D9" s="14" t="s">
        <v>13</v>
      </c>
      <c r="E9" s="14" t="s">
        <v>18</v>
      </c>
      <c r="F9" s="14">
        <v>12550</v>
      </c>
      <c r="G9" s="14">
        <v>23925</v>
      </c>
      <c r="H9" s="14">
        <v>24281.45</v>
      </c>
      <c r="I9" s="6">
        <f t="shared" si="0"/>
        <v>356.45000000000073</v>
      </c>
      <c r="J9" s="6">
        <f t="shared" si="1"/>
        <v>4473447.5000000093</v>
      </c>
      <c r="K9" s="6">
        <f t="shared" si="2"/>
        <v>304732197.5</v>
      </c>
      <c r="L9" s="6">
        <f t="shared" si="3"/>
        <v>300258750</v>
      </c>
      <c r="M9" s="6">
        <f t="shared" si="4"/>
        <v>604990947.5</v>
      </c>
      <c r="N9" s="6">
        <f t="shared" si="6"/>
        <v>60946.4395</v>
      </c>
      <c r="O9" s="6">
        <f t="shared" si="7"/>
        <v>10466.343391750001</v>
      </c>
      <c r="P9" s="6">
        <f t="shared" si="8"/>
        <v>604.99094749999995</v>
      </c>
      <c r="Q9" s="6">
        <f t="shared" si="9"/>
        <v>60051.75</v>
      </c>
      <c r="R9" s="6">
        <f t="shared" si="10"/>
        <v>1992.840181065</v>
      </c>
      <c r="S9" s="6">
        <f t="shared" si="11"/>
        <v>134062.364020315</v>
      </c>
      <c r="T9" s="6">
        <f t="shared" si="5"/>
        <v>4339385.1359796943</v>
      </c>
    </row>
    <row r="10" spans="1:21" x14ac:dyDescent="0.25">
      <c r="A10" s="7">
        <v>45687</v>
      </c>
      <c r="B10" s="14" t="s">
        <v>14</v>
      </c>
      <c r="C10" s="15">
        <v>45715</v>
      </c>
      <c r="D10" s="14" t="s">
        <v>15</v>
      </c>
      <c r="E10" s="14" t="s">
        <v>18</v>
      </c>
      <c r="F10" s="14">
        <v>23100</v>
      </c>
      <c r="G10" s="14">
        <v>11845.7</v>
      </c>
      <c r="H10" s="14">
        <v>10965</v>
      </c>
      <c r="I10" s="6">
        <f t="shared" si="0"/>
        <v>880.70000000000073</v>
      </c>
      <c r="J10" s="6">
        <f t="shared" si="1"/>
        <v>20344170.000000019</v>
      </c>
      <c r="K10" s="6">
        <f t="shared" si="2"/>
        <v>273635670</v>
      </c>
      <c r="L10" s="6">
        <f t="shared" si="3"/>
        <v>253291500</v>
      </c>
      <c r="M10" s="6">
        <f t="shared" si="4"/>
        <v>526927170</v>
      </c>
      <c r="N10" s="6">
        <f t="shared" si="6"/>
        <v>54727.134000000005</v>
      </c>
      <c r="O10" s="6">
        <f t="shared" si="7"/>
        <v>9115.8400409999995</v>
      </c>
      <c r="P10" s="6">
        <f t="shared" si="8"/>
        <v>526.92716999999993</v>
      </c>
      <c r="Q10" s="6">
        <f t="shared" si="9"/>
        <v>50658.3</v>
      </c>
      <c r="R10" s="6">
        <f t="shared" si="10"/>
        <v>1735.6980979799996</v>
      </c>
      <c r="S10" s="6">
        <f t="shared" si="11"/>
        <v>116763.89930898001</v>
      </c>
      <c r="T10" s="6">
        <f t="shared" si="5"/>
        <v>20227406.100691039</v>
      </c>
    </row>
    <row r="11" spans="1:21" x14ac:dyDescent="0.25">
      <c r="A11" s="7">
        <v>45687</v>
      </c>
      <c r="B11" s="14" t="s">
        <v>19</v>
      </c>
      <c r="C11" s="15">
        <v>45715</v>
      </c>
      <c r="D11" s="14" t="s">
        <v>13</v>
      </c>
      <c r="E11" s="14" t="s">
        <v>18</v>
      </c>
      <c r="F11" s="14">
        <v>12550</v>
      </c>
      <c r="G11" s="14">
        <v>23405.1</v>
      </c>
      <c r="H11" s="14">
        <v>22546.75</v>
      </c>
      <c r="I11" s="6">
        <f t="shared" si="0"/>
        <v>-858.34999999999854</v>
      </c>
      <c r="J11" s="6">
        <f t="shared" si="1"/>
        <v>-10772292.499999981</v>
      </c>
      <c r="K11" s="6">
        <f t="shared" si="2"/>
        <v>282961712.5</v>
      </c>
      <c r="L11" s="6">
        <f t="shared" si="3"/>
        <v>293734005</v>
      </c>
      <c r="M11" s="6">
        <f t="shared" si="4"/>
        <v>576695717.5</v>
      </c>
      <c r="N11" s="6">
        <f t="shared" si="6"/>
        <v>56592.342500000006</v>
      </c>
      <c r="O11" s="6">
        <f t="shared" si="7"/>
        <v>9976.8359127500007</v>
      </c>
      <c r="P11" s="6">
        <f t="shared" si="8"/>
        <v>576.6957175</v>
      </c>
      <c r="Q11" s="6">
        <f t="shared" si="9"/>
        <v>58746.800999999999</v>
      </c>
      <c r="R11" s="6">
        <f t="shared" si="10"/>
        <v>1899.6356934450002</v>
      </c>
      <c r="S11" s="6">
        <f t="shared" si="11"/>
        <v>127792.31082369502</v>
      </c>
      <c r="T11" s="6">
        <f t="shared" si="5"/>
        <v>-10900084.810823677</v>
      </c>
    </row>
    <row r="12" spans="1:21" x14ac:dyDescent="0.25">
      <c r="A12" s="7">
        <v>45715</v>
      </c>
      <c r="B12" s="14" t="s">
        <v>14</v>
      </c>
      <c r="C12" s="15">
        <v>45743</v>
      </c>
      <c r="D12" s="14" t="s">
        <v>13</v>
      </c>
      <c r="E12" s="14" t="s">
        <v>18</v>
      </c>
      <c r="F12" s="14">
        <v>27240</v>
      </c>
      <c r="G12" s="14">
        <v>11017.05</v>
      </c>
      <c r="H12" s="14">
        <v>11517.95</v>
      </c>
      <c r="I12" s="6">
        <f t="shared" si="0"/>
        <v>500.90000000000146</v>
      </c>
      <c r="J12" s="6">
        <f t="shared" si="1"/>
        <v>13644516.000000039</v>
      </c>
      <c r="K12" s="6">
        <f t="shared" si="2"/>
        <v>313748958</v>
      </c>
      <c r="L12" s="6">
        <f t="shared" si="3"/>
        <v>300104442</v>
      </c>
      <c r="M12" s="6">
        <f t="shared" si="4"/>
        <v>613853400</v>
      </c>
      <c r="N12" s="6">
        <f t="shared" si="6"/>
        <v>62749.791600000004</v>
      </c>
      <c r="O12" s="6">
        <f t="shared" si="7"/>
        <v>10619.66382</v>
      </c>
      <c r="P12" s="6">
        <f t="shared" si="8"/>
        <v>613.85339999999997</v>
      </c>
      <c r="Q12" s="6">
        <f t="shared" si="9"/>
        <v>60020.888400000003</v>
      </c>
      <c r="R12" s="6">
        <f t="shared" si="10"/>
        <v>2022.0330995999998</v>
      </c>
      <c r="S12" s="6">
        <f t="shared" si="11"/>
        <v>136026.2303196</v>
      </c>
      <c r="T12" s="6">
        <f t="shared" si="5"/>
        <v>13508489.769680439</v>
      </c>
    </row>
    <row r="13" spans="1:21" x14ac:dyDescent="0.25">
      <c r="A13" s="7">
        <v>45715</v>
      </c>
      <c r="B13" s="14" t="s">
        <v>19</v>
      </c>
      <c r="C13" s="15">
        <v>45743</v>
      </c>
      <c r="D13" s="14" t="s">
        <v>15</v>
      </c>
      <c r="E13" s="14" t="s">
        <v>18</v>
      </c>
      <c r="F13" s="14">
        <v>13200</v>
      </c>
      <c r="G13" s="14">
        <v>22686.45</v>
      </c>
      <c r="H13" s="14">
        <v>23590.75</v>
      </c>
      <c r="I13" s="6">
        <f t="shared" si="0"/>
        <v>-904.29999999999927</v>
      </c>
      <c r="J13" s="6">
        <f t="shared" si="1"/>
        <v>-11936759.999999991</v>
      </c>
      <c r="K13" s="6">
        <f t="shared" si="2"/>
        <v>299461140</v>
      </c>
      <c r="L13" s="6">
        <f t="shared" si="3"/>
        <v>311397900</v>
      </c>
      <c r="M13" s="6">
        <f t="shared" si="4"/>
        <v>610859040</v>
      </c>
      <c r="N13" s="6">
        <f t="shared" si="6"/>
        <v>59892.228000000003</v>
      </c>
      <c r="O13" s="6">
        <f t="shared" si="7"/>
        <v>10567.861392000001</v>
      </c>
      <c r="P13" s="6">
        <f t="shared" si="8"/>
        <v>610.85903999999994</v>
      </c>
      <c r="Q13" s="6">
        <f t="shared" si="9"/>
        <v>62279.58</v>
      </c>
      <c r="R13" s="6">
        <f t="shared" si="10"/>
        <v>2012.16967776</v>
      </c>
      <c r="S13" s="6">
        <f t="shared" si="11"/>
        <v>135362.69810976001</v>
      </c>
      <c r="T13" s="6">
        <f t="shared" si="5"/>
        <v>-12072122.698109752</v>
      </c>
    </row>
    <row r="14" spans="1:21" x14ac:dyDescent="0.25">
      <c r="A14" s="7">
        <v>45743</v>
      </c>
      <c r="B14" s="14" t="s">
        <v>14</v>
      </c>
      <c r="C14" s="15">
        <v>45771</v>
      </c>
      <c r="D14" s="14" t="s">
        <v>13</v>
      </c>
      <c r="E14" s="14" t="s">
        <v>18</v>
      </c>
      <c r="F14" s="14">
        <v>27240</v>
      </c>
      <c r="G14" s="14">
        <v>11639</v>
      </c>
      <c r="H14" s="14">
        <v>12251</v>
      </c>
      <c r="I14" s="6">
        <f t="shared" si="0"/>
        <v>612</v>
      </c>
      <c r="J14" s="6">
        <f t="shared" si="1"/>
        <v>16670880</v>
      </c>
      <c r="K14" s="6">
        <f t="shared" si="2"/>
        <v>333717240</v>
      </c>
      <c r="L14" s="6">
        <f t="shared" si="3"/>
        <v>317046360</v>
      </c>
      <c r="M14" s="6">
        <f t="shared" si="4"/>
        <v>650763600</v>
      </c>
      <c r="N14" s="6">
        <f t="shared" si="6"/>
        <v>66743.448000000004</v>
      </c>
      <c r="O14" s="6">
        <f t="shared" si="7"/>
        <v>11258.210280000001</v>
      </c>
      <c r="P14" s="6">
        <f t="shared" si="8"/>
        <v>650.7636</v>
      </c>
      <c r="Q14" s="6">
        <f t="shared" si="9"/>
        <v>63409.272000000004</v>
      </c>
      <c r="R14" s="6">
        <f t="shared" si="10"/>
        <v>2143.6152984</v>
      </c>
      <c r="S14" s="6">
        <f t="shared" si="11"/>
        <v>144205.3091784</v>
      </c>
      <c r="T14" s="6">
        <f t="shared" si="5"/>
        <v>16526674.690821599</v>
      </c>
    </row>
    <row r="15" spans="1:21" x14ac:dyDescent="0.25">
      <c r="A15" s="7">
        <v>45743</v>
      </c>
      <c r="B15" s="14" t="s">
        <v>19</v>
      </c>
      <c r="C15" s="15">
        <v>45771</v>
      </c>
      <c r="D15" s="14" t="s">
        <v>15</v>
      </c>
      <c r="E15" s="14" t="s">
        <v>18</v>
      </c>
      <c r="F15" s="14">
        <v>13200</v>
      </c>
      <c r="G15" s="14">
        <v>23756.05</v>
      </c>
      <c r="H15" s="14">
        <v>24246.5</v>
      </c>
      <c r="I15" s="6">
        <f t="shared" si="0"/>
        <v>-490.45000000000073</v>
      </c>
      <c r="J15" s="6">
        <f t="shared" si="1"/>
        <v>-6473940.0000000093</v>
      </c>
      <c r="K15" s="6">
        <f t="shared" si="2"/>
        <v>313579860</v>
      </c>
      <c r="L15" s="6">
        <f t="shared" si="3"/>
        <v>320053800</v>
      </c>
      <c r="M15" s="6">
        <f t="shared" si="4"/>
        <v>633633660</v>
      </c>
      <c r="N15" s="6">
        <f t="shared" si="6"/>
        <v>62715.972000000002</v>
      </c>
      <c r="O15" s="6">
        <f t="shared" si="7"/>
        <v>10961.862318</v>
      </c>
      <c r="P15" s="6">
        <f t="shared" si="8"/>
        <v>633.63365999999996</v>
      </c>
      <c r="Q15" s="6">
        <f t="shared" si="9"/>
        <v>64010.76</v>
      </c>
      <c r="R15" s="6">
        <f t="shared" si="10"/>
        <v>2087.1892760399996</v>
      </c>
      <c r="S15" s="6">
        <f t="shared" si="11"/>
        <v>140409.41725404002</v>
      </c>
      <c r="T15" s="6">
        <f t="shared" si="5"/>
        <v>-6614349.4172540493</v>
      </c>
    </row>
    <row r="16" spans="1:21" x14ac:dyDescent="0.25">
      <c r="A16" s="7">
        <v>45771</v>
      </c>
      <c r="B16" s="14" t="s">
        <v>14</v>
      </c>
      <c r="C16" s="15">
        <v>45806</v>
      </c>
      <c r="D16" s="14" t="s">
        <v>13</v>
      </c>
      <c r="E16" s="14" t="s">
        <v>18</v>
      </c>
      <c r="F16" s="14">
        <v>27240</v>
      </c>
      <c r="G16" s="14">
        <v>12272.8</v>
      </c>
      <c r="H16" s="14">
        <v>12702.6</v>
      </c>
      <c r="I16" s="6">
        <f t="shared" si="0"/>
        <v>429.80000000000109</v>
      </c>
      <c r="J16" s="6">
        <f t="shared" si="1"/>
        <v>11707752.00000003</v>
      </c>
      <c r="K16" s="6">
        <f t="shared" si="2"/>
        <v>346018824</v>
      </c>
      <c r="L16" s="6">
        <f t="shared" si="3"/>
        <v>334311072</v>
      </c>
      <c r="M16" s="6">
        <f t="shared" si="4"/>
        <v>680329896</v>
      </c>
      <c r="N16" s="6">
        <f t="shared" si="6"/>
        <v>69203.764800000004</v>
      </c>
      <c r="O16" s="6">
        <f t="shared" si="7"/>
        <v>11769.7072008</v>
      </c>
      <c r="P16" s="6">
        <f t="shared" si="8"/>
        <v>680.32989599999996</v>
      </c>
      <c r="Q16" s="6">
        <f t="shared" si="9"/>
        <v>66862.214399999997</v>
      </c>
      <c r="R16" s="6">
        <f t="shared" si="10"/>
        <v>2241.0066774239999</v>
      </c>
      <c r="S16" s="6">
        <f t="shared" si="11"/>
        <v>150757.022974224</v>
      </c>
      <c r="T16" s="6">
        <f t="shared" si="5"/>
        <v>11556994.977025805</v>
      </c>
    </row>
    <row r="17" spans="1:20" x14ac:dyDescent="0.25">
      <c r="A17" s="7">
        <v>45771</v>
      </c>
      <c r="B17" s="14" t="s">
        <v>19</v>
      </c>
      <c r="C17" s="15">
        <v>45806</v>
      </c>
      <c r="D17" s="14" t="s">
        <v>15</v>
      </c>
      <c r="E17" s="14" t="s">
        <v>18</v>
      </c>
      <c r="F17" s="14">
        <v>13200</v>
      </c>
      <c r="G17" s="14">
        <v>24373.9</v>
      </c>
      <c r="H17" s="14">
        <v>24824.2</v>
      </c>
      <c r="I17" s="6">
        <f t="shared" si="0"/>
        <v>-450.29999999999927</v>
      </c>
      <c r="J17" s="6">
        <f t="shared" si="1"/>
        <v>-5943959.9999999907</v>
      </c>
      <c r="K17" s="6">
        <f t="shared" si="2"/>
        <v>321735480</v>
      </c>
      <c r="L17" s="6">
        <f t="shared" si="3"/>
        <v>327679440</v>
      </c>
      <c r="M17" s="6">
        <f t="shared" si="4"/>
        <v>649414920</v>
      </c>
      <c r="N17" s="6">
        <f t="shared" si="6"/>
        <v>64347.096000000005</v>
      </c>
      <c r="O17" s="6">
        <f t="shared" si="7"/>
        <v>11234.878116</v>
      </c>
      <c r="P17" s="6">
        <f t="shared" si="8"/>
        <v>649.41491999999994</v>
      </c>
      <c r="Q17" s="6">
        <f t="shared" si="9"/>
        <v>65535.888000000006</v>
      </c>
      <c r="R17" s="6">
        <f t="shared" si="10"/>
        <v>2139.1727464799997</v>
      </c>
      <c r="S17" s="6">
        <f t="shared" si="11"/>
        <v>143906.44978247999</v>
      </c>
      <c r="T17" s="6">
        <f t="shared" si="5"/>
        <v>-6087866.4497824702</v>
      </c>
    </row>
    <row r="18" spans="1:20" x14ac:dyDescent="0.25">
      <c r="A18" s="7">
        <v>45806</v>
      </c>
      <c r="B18" s="14" t="s">
        <v>14</v>
      </c>
      <c r="C18" s="15">
        <v>45834</v>
      </c>
      <c r="D18" s="14" t="s">
        <v>13</v>
      </c>
      <c r="E18" s="14" t="s">
        <v>18</v>
      </c>
      <c r="F18" s="14">
        <v>27240</v>
      </c>
      <c r="G18" s="14">
        <v>12790</v>
      </c>
      <c r="H18" s="14">
        <v>13300.7</v>
      </c>
      <c r="I18" s="6">
        <f t="shared" si="0"/>
        <v>510.70000000000073</v>
      </c>
      <c r="J18" s="6">
        <f t="shared" si="1"/>
        <v>13911468.00000002</v>
      </c>
      <c r="K18" s="6">
        <f t="shared" si="2"/>
        <v>362311068</v>
      </c>
      <c r="L18" s="6">
        <f t="shared" si="3"/>
        <v>348399600</v>
      </c>
      <c r="M18" s="6">
        <f t="shared" si="4"/>
        <v>710710668</v>
      </c>
      <c r="N18" s="6">
        <f t="shared" si="6"/>
        <v>72462.213600000003</v>
      </c>
      <c r="O18" s="6">
        <f t="shared" si="7"/>
        <v>12295.2945564</v>
      </c>
      <c r="P18" s="6">
        <f t="shared" si="8"/>
        <v>710.71066799999994</v>
      </c>
      <c r="Q18" s="6">
        <f t="shared" si="9"/>
        <v>69679.92</v>
      </c>
      <c r="R18" s="6">
        <f t="shared" si="10"/>
        <v>2341.0809403919998</v>
      </c>
      <c r="S18" s="6">
        <f t="shared" si="11"/>
        <v>157489.21976479201</v>
      </c>
      <c r="T18" s="6">
        <f t="shared" si="5"/>
        <v>13753978.780235229</v>
      </c>
    </row>
    <row r="19" spans="1:20" x14ac:dyDescent="0.25">
      <c r="A19" s="7">
        <v>45806</v>
      </c>
      <c r="B19" s="14" t="s">
        <v>19</v>
      </c>
      <c r="C19" s="15">
        <v>45834</v>
      </c>
      <c r="D19" s="14" t="s">
        <v>15</v>
      </c>
      <c r="E19" s="14" t="s">
        <v>18</v>
      </c>
      <c r="F19" s="14">
        <v>13200</v>
      </c>
      <c r="G19" s="14">
        <v>24939.200000000001</v>
      </c>
      <c r="H19" s="14">
        <v>25545.8</v>
      </c>
      <c r="I19" s="6">
        <f t="shared" si="0"/>
        <v>-606.59999999999854</v>
      </c>
      <c r="J19" s="6">
        <f t="shared" si="1"/>
        <v>-8007119.9999999804</v>
      </c>
      <c r="K19" s="6">
        <f t="shared" si="2"/>
        <v>329197440</v>
      </c>
      <c r="L19" s="6">
        <f t="shared" si="3"/>
        <v>337204560</v>
      </c>
      <c r="M19" s="6">
        <f t="shared" si="4"/>
        <v>666402000</v>
      </c>
      <c r="N19" s="6">
        <f t="shared" si="6"/>
        <v>65839.487999999998</v>
      </c>
      <c r="O19" s="6">
        <f t="shared" si="7"/>
        <v>11528.7546</v>
      </c>
      <c r="P19" s="6">
        <f t="shared" si="8"/>
        <v>666.40199999999993</v>
      </c>
      <c r="Q19" s="6">
        <f t="shared" si="9"/>
        <v>67440.911999999997</v>
      </c>
      <c r="R19" s="6">
        <f t="shared" si="10"/>
        <v>2195.1281880000001</v>
      </c>
      <c r="S19" s="6">
        <f t="shared" si="11"/>
        <v>147670.68478800001</v>
      </c>
      <c r="T19" s="6">
        <f t="shared" si="5"/>
        <v>-8154790.6847879803</v>
      </c>
    </row>
    <row r="20" spans="1:20" x14ac:dyDescent="0.25">
      <c r="A20" s="7">
        <v>45834</v>
      </c>
      <c r="B20" s="14" t="s">
        <v>14</v>
      </c>
      <c r="C20" s="15">
        <v>45869</v>
      </c>
      <c r="D20" s="14" t="s">
        <v>13</v>
      </c>
      <c r="E20" s="14" t="s">
        <v>18</v>
      </c>
      <c r="F20" s="14">
        <v>27240</v>
      </c>
      <c r="G20" s="14">
        <v>13382.05</v>
      </c>
      <c r="H20" s="14">
        <v>12869.55</v>
      </c>
      <c r="I20" s="6">
        <f t="shared" si="0"/>
        <v>-512.5</v>
      </c>
      <c r="J20" s="6">
        <f t="shared" si="1"/>
        <v>-13960500</v>
      </c>
      <c r="K20" s="6">
        <f t="shared" si="2"/>
        <v>350566542</v>
      </c>
      <c r="L20" s="6">
        <f t="shared" si="3"/>
        <v>364527042</v>
      </c>
      <c r="M20" s="6">
        <f t="shared" si="4"/>
        <v>715093584</v>
      </c>
      <c r="N20" s="6">
        <f t="shared" si="6"/>
        <v>70113.308400000009</v>
      </c>
      <c r="O20" s="6">
        <f t="shared" si="7"/>
        <v>12371.119003199999</v>
      </c>
      <c r="P20" s="6">
        <f t="shared" si="8"/>
        <v>715.09358399999996</v>
      </c>
      <c r="Q20" s="6">
        <f t="shared" si="9"/>
        <v>72905.4084</v>
      </c>
      <c r="R20" s="6">
        <f t="shared" si="10"/>
        <v>2355.5182656960001</v>
      </c>
      <c r="S20" s="6">
        <f t="shared" si="11"/>
        <v>158460.44765289602</v>
      </c>
      <c r="T20" s="6">
        <f t="shared" si="5"/>
        <v>-14118960.447652897</v>
      </c>
    </row>
    <row r="21" spans="1:20" x14ac:dyDescent="0.25">
      <c r="A21" s="7">
        <v>45834</v>
      </c>
      <c r="B21" s="14" t="s">
        <v>19</v>
      </c>
      <c r="C21" s="15">
        <v>45869</v>
      </c>
      <c r="D21" s="14" t="s">
        <v>15</v>
      </c>
      <c r="E21" s="14" t="s">
        <v>18</v>
      </c>
      <c r="F21" s="14">
        <v>13200</v>
      </c>
      <c r="G21" s="14">
        <v>25606.6</v>
      </c>
      <c r="H21" s="14">
        <v>24767.4</v>
      </c>
      <c r="I21" s="6">
        <f t="shared" si="0"/>
        <v>839.19999999999709</v>
      </c>
      <c r="J21" s="6">
        <f t="shared" si="1"/>
        <v>11077439.999999961</v>
      </c>
      <c r="K21" s="6">
        <f t="shared" si="2"/>
        <v>338007120</v>
      </c>
      <c r="L21" s="6">
        <f t="shared" si="3"/>
        <v>326929680</v>
      </c>
      <c r="M21" s="6">
        <f t="shared" si="4"/>
        <v>664936800</v>
      </c>
      <c r="N21" s="6">
        <f t="shared" si="6"/>
        <v>67601.423999999999</v>
      </c>
      <c r="O21" s="6">
        <f t="shared" si="7"/>
        <v>11503.406640000001</v>
      </c>
      <c r="P21" s="6">
        <f t="shared" si="8"/>
        <v>664.93679999999995</v>
      </c>
      <c r="Q21" s="6">
        <f t="shared" si="9"/>
        <v>65385.936000000002</v>
      </c>
      <c r="R21" s="6">
        <f t="shared" si="10"/>
        <v>2190.3018192</v>
      </c>
      <c r="S21" s="6">
        <f t="shared" si="11"/>
        <v>147346.0052592</v>
      </c>
      <c r="T21" s="6">
        <f t="shared" si="5"/>
        <v>10930093.994740762</v>
      </c>
    </row>
    <row r="22" spans="1:20" x14ac:dyDescent="0.25">
      <c r="A22" s="7">
        <v>45869</v>
      </c>
      <c r="B22" s="14" t="s">
        <v>14</v>
      </c>
      <c r="C22" s="15">
        <v>45897</v>
      </c>
      <c r="D22" s="14" t="s">
        <v>13</v>
      </c>
      <c r="E22" s="14" t="s">
        <v>18</v>
      </c>
      <c r="F22" s="14">
        <v>27240</v>
      </c>
      <c r="G22" s="14">
        <v>12911.3</v>
      </c>
      <c r="H22" s="14">
        <v>12536.6</v>
      </c>
      <c r="I22" s="6">
        <f t="shared" si="0"/>
        <v>-374.69999999999891</v>
      </c>
      <c r="J22" s="6">
        <f t="shared" si="1"/>
        <v>-10206827.99999997</v>
      </c>
      <c r="K22" s="6">
        <f t="shared" si="2"/>
        <v>341496984</v>
      </c>
      <c r="L22" s="6">
        <f t="shared" si="3"/>
        <v>351703812</v>
      </c>
      <c r="M22" s="6">
        <f t="shared" si="4"/>
        <v>693200796</v>
      </c>
      <c r="N22" s="6">
        <f t="shared" si="6"/>
        <v>68299.396800000002</v>
      </c>
      <c r="O22" s="6">
        <f t="shared" si="7"/>
        <v>11992.373770800001</v>
      </c>
      <c r="P22" s="6">
        <f t="shared" si="8"/>
        <v>693.20079599999997</v>
      </c>
      <c r="Q22" s="6">
        <f t="shared" si="9"/>
        <v>70340.762400000007</v>
      </c>
      <c r="R22" s="6">
        <f t="shared" si="10"/>
        <v>2283.4034220240001</v>
      </c>
      <c r="S22" s="6">
        <f t="shared" si="11"/>
        <v>153609.13718882404</v>
      </c>
      <c r="T22" s="6">
        <f t="shared" si="5"/>
        <v>-10360437.137188794</v>
      </c>
    </row>
    <row r="23" spans="1:20" x14ac:dyDescent="0.25">
      <c r="A23" s="7">
        <v>45869</v>
      </c>
      <c r="B23" s="14" t="s">
        <v>19</v>
      </c>
      <c r="C23" s="15">
        <v>45897</v>
      </c>
      <c r="D23" s="14" t="s">
        <v>15</v>
      </c>
      <c r="E23" s="14" t="s">
        <v>18</v>
      </c>
      <c r="F23" s="14">
        <v>13200</v>
      </c>
      <c r="G23" s="14">
        <v>24860</v>
      </c>
      <c r="H23" s="14">
        <v>24494.6</v>
      </c>
      <c r="I23" s="6">
        <f t="shared" si="0"/>
        <v>365.40000000000146</v>
      </c>
      <c r="J23" s="6">
        <f t="shared" si="1"/>
        <v>4823280.0000000196</v>
      </c>
      <c r="K23" s="6">
        <f t="shared" si="2"/>
        <v>328152000</v>
      </c>
      <c r="L23" s="6">
        <f t="shared" si="3"/>
        <v>323328720</v>
      </c>
      <c r="M23" s="6">
        <f t="shared" si="4"/>
        <v>651480720</v>
      </c>
      <c r="N23" s="6">
        <f t="shared" si="6"/>
        <v>65630.400000000009</v>
      </c>
      <c r="O23" s="6">
        <f t="shared" si="7"/>
        <v>11270.616456</v>
      </c>
      <c r="P23" s="6">
        <f t="shared" si="8"/>
        <v>651.48072000000002</v>
      </c>
      <c r="Q23" s="6">
        <f t="shared" si="9"/>
        <v>64665.744000000006</v>
      </c>
      <c r="R23" s="6">
        <f t="shared" si="10"/>
        <v>2145.9774916799997</v>
      </c>
      <c r="S23" s="6">
        <f t="shared" si="11"/>
        <v>144364.21866768005</v>
      </c>
      <c r="T23" s="6">
        <f t="shared" si="5"/>
        <v>4678915.7813323392</v>
      </c>
    </row>
    <row r="24" spans="1:20" x14ac:dyDescent="0.25">
      <c r="A24" s="7">
        <v>45897</v>
      </c>
      <c r="B24" s="14" t="s">
        <v>14</v>
      </c>
      <c r="C24" s="15">
        <v>45930</v>
      </c>
      <c r="D24" s="14" t="s">
        <v>13</v>
      </c>
      <c r="E24" s="14" t="s">
        <v>18</v>
      </c>
      <c r="F24" s="14">
        <v>27240</v>
      </c>
      <c r="G24" s="14">
        <v>12590.35</v>
      </c>
      <c r="H24" s="14">
        <v>12600</v>
      </c>
      <c r="I24" s="6">
        <f t="shared" si="0"/>
        <v>9.6499999999996362</v>
      </c>
      <c r="J24" s="6">
        <f t="shared" si="1"/>
        <v>262865.9999999901</v>
      </c>
      <c r="K24" s="6">
        <f t="shared" si="2"/>
        <v>343224000</v>
      </c>
      <c r="L24" s="6">
        <f t="shared" si="3"/>
        <v>342961134</v>
      </c>
      <c r="M24" s="6">
        <f t="shared" si="4"/>
        <v>686185134</v>
      </c>
      <c r="N24" s="6">
        <f t="shared" si="6"/>
        <v>68644.800000000003</v>
      </c>
      <c r="O24" s="6">
        <f t="shared" si="7"/>
        <v>11871.002818200001</v>
      </c>
      <c r="P24" s="6">
        <f t="shared" si="8"/>
        <v>686.18513399999995</v>
      </c>
      <c r="Q24" s="6">
        <f t="shared" si="9"/>
        <v>68592.226800000004</v>
      </c>
      <c r="R24" s="6">
        <f t="shared" si="10"/>
        <v>2260.2938313959999</v>
      </c>
      <c r="S24" s="6">
        <f t="shared" si="11"/>
        <v>152054.50858359601</v>
      </c>
      <c r="T24" s="6">
        <f t="shared" si="5"/>
        <v>110811.4914163941</v>
      </c>
    </row>
    <row r="25" spans="1:20" x14ac:dyDescent="0.25">
      <c r="A25" s="7">
        <v>45897</v>
      </c>
      <c r="B25" s="14" t="s">
        <v>19</v>
      </c>
      <c r="C25" s="15">
        <v>45930</v>
      </c>
      <c r="D25" s="14" t="s">
        <v>15</v>
      </c>
      <c r="E25" s="14" t="s">
        <v>18</v>
      </c>
      <c r="F25" s="14">
        <v>13200</v>
      </c>
      <c r="G25" s="14">
        <v>24646.6</v>
      </c>
      <c r="H25" s="14">
        <v>24609</v>
      </c>
      <c r="I25" s="6">
        <f t="shared" si="0"/>
        <v>37.599999999998545</v>
      </c>
      <c r="J25" s="6">
        <f t="shared" si="1"/>
        <v>496319.99999998079</v>
      </c>
      <c r="K25" s="6">
        <f t="shared" si="2"/>
        <v>325335120</v>
      </c>
      <c r="L25" s="6">
        <f t="shared" si="3"/>
        <v>324838800</v>
      </c>
      <c r="M25" s="6">
        <f t="shared" si="4"/>
        <v>650173920</v>
      </c>
      <c r="N25" s="6">
        <f t="shared" si="6"/>
        <v>65067.024000000005</v>
      </c>
      <c r="O25" s="6">
        <f t="shared" si="7"/>
        <v>11248.008816</v>
      </c>
      <c r="P25" s="6">
        <f t="shared" si="8"/>
        <v>650.17391999999995</v>
      </c>
      <c r="Q25" s="6">
        <f t="shared" si="9"/>
        <v>64967.76</v>
      </c>
      <c r="R25" s="6">
        <f t="shared" si="10"/>
        <v>2141.6728924799995</v>
      </c>
      <c r="S25" s="6">
        <f t="shared" si="11"/>
        <v>144074.63962848001</v>
      </c>
      <c r="T25" s="6">
        <f t="shared" si="5"/>
        <v>352245.36037150078</v>
      </c>
    </row>
    <row r="26" spans="1:20" x14ac:dyDescent="0.25">
      <c r="A26" s="7">
        <v>45930</v>
      </c>
      <c r="B26" s="14" t="s">
        <v>14</v>
      </c>
      <c r="C26" s="15">
        <v>45958</v>
      </c>
      <c r="D26" s="14" t="s">
        <v>13</v>
      </c>
      <c r="E26" s="14" t="s">
        <v>18</v>
      </c>
      <c r="F26" s="14">
        <v>27240</v>
      </c>
      <c r="G26" s="14">
        <v>12663.3</v>
      </c>
      <c r="H26" s="14">
        <v>13366</v>
      </c>
      <c r="I26" s="6">
        <f t="shared" si="0"/>
        <v>702.70000000000073</v>
      </c>
      <c r="J26" s="6">
        <f t="shared" si="1"/>
        <v>19141548.000000019</v>
      </c>
      <c r="K26" s="6">
        <f t="shared" si="2"/>
        <v>364089840</v>
      </c>
      <c r="L26" s="6">
        <f t="shared" si="3"/>
        <v>344948292</v>
      </c>
      <c r="M26" s="6">
        <f t="shared" si="4"/>
        <v>709038132</v>
      </c>
      <c r="N26" s="6">
        <f t="shared" si="6"/>
        <v>72817.968000000008</v>
      </c>
      <c r="O26" s="6">
        <f t="shared" si="7"/>
        <v>12266.3596836</v>
      </c>
      <c r="P26" s="6">
        <f t="shared" si="8"/>
        <v>709.03813200000002</v>
      </c>
      <c r="Q26" s="6">
        <f t="shared" si="9"/>
        <v>68989.6584</v>
      </c>
      <c r="R26" s="6">
        <f t="shared" si="10"/>
        <v>2335.5716068079996</v>
      </c>
      <c r="S26" s="6">
        <f t="shared" si="11"/>
        <v>157118.59582240801</v>
      </c>
      <c r="T26" s="6">
        <f t="shared" si="5"/>
        <v>18984429.40417761</v>
      </c>
    </row>
    <row r="27" spans="1:20" x14ac:dyDescent="0.25">
      <c r="A27" s="7">
        <v>45930</v>
      </c>
      <c r="B27" s="14" t="s">
        <v>19</v>
      </c>
      <c r="C27" s="15">
        <v>45958</v>
      </c>
      <c r="D27" s="14" t="s">
        <v>15</v>
      </c>
      <c r="E27" s="14" t="s">
        <v>18</v>
      </c>
      <c r="F27" s="14">
        <v>13200</v>
      </c>
      <c r="G27" s="14">
        <v>24771.200000000001</v>
      </c>
      <c r="H27" s="14">
        <v>25940</v>
      </c>
      <c r="I27" s="6">
        <f t="shared" si="0"/>
        <v>-1168.7999999999993</v>
      </c>
      <c r="J27" s="6">
        <f t="shared" si="1"/>
        <v>-15428159.999999991</v>
      </c>
      <c r="K27" s="6">
        <f t="shared" si="2"/>
        <v>326979840</v>
      </c>
      <c r="L27" s="6">
        <f t="shared" si="3"/>
        <v>342408000</v>
      </c>
      <c r="M27" s="6">
        <f t="shared" si="4"/>
        <v>669387840</v>
      </c>
      <c r="N27" s="6">
        <f t="shared" si="6"/>
        <v>65395.968000000001</v>
      </c>
      <c r="O27" s="6">
        <f t="shared" si="7"/>
        <v>11580.409632000001</v>
      </c>
      <c r="P27" s="6">
        <f t="shared" si="8"/>
        <v>669.38783999999998</v>
      </c>
      <c r="Q27" s="6">
        <f t="shared" si="9"/>
        <v>68481.600000000006</v>
      </c>
      <c r="R27" s="6">
        <f t="shared" si="10"/>
        <v>2204.96354496</v>
      </c>
      <c r="S27" s="6">
        <f t="shared" si="11"/>
        <v>148332.32901695999</v>
      </c>
      <c r="T27" s="6">
        <f t="shared" si="5"/>
        <v>-15576492.32901695</v>
      </c>
    </row>
    <row r="28" spans="1:20" x14ac:dyDescent="0.25">
      <c r="A28" s="7">
        <v>45958</v>
      </c>
      <c r="B28" s="14" t="s">
        <v>14</v>
      </c>
      <c r="C28" s="15">
        <v>45986</v>
      </c>
      <c r="D28" s="14" t="s">
        <v>13</v>
      </c>
      <c r="E28" s="14" t="s">
        <v>18</v>
      </c>
      <c r="F28" s="14">
        <v>27240</v>
      </c>
      <c r="G28" s="14">
        <v>13443.45</v>
      </c>
      <c r="H28" s="14">
        <v>13809.65</v>
      </c>
      <c r="I28" s="6">
        <f t="shared" si="0"/>
        <v>366.19999999999891</v>
      </c>
      <c r="J28" s="6">
        <f t="shared" si="1"/>
        <v>9975287.9999999702</v>
      </c>
      <c r="K28" s="6">
        <f t="shared" si="2"/>
        <v>376174866</v>
      </c>
      <c r="L28" s="6">
        <f t="shared" si="3"/>
        <v>366199578</v>
      </c>
      <c r="M28" s="6">
        <f t="shared" si="4"/>
        <v>742374444</v>
      </c>
      <c r="N28" s="6">
        <f t="shared" si="6"/>
        <v>75234.973200000008</v>
      </c>
      <c r="O28" s="6">
        <f t="shared" si="7"/>
        <v>12843.077881200001</v>
      </c>
      <c r="P28" s="6">
        <f t="shared" si="8"/>
        <v>742.37444399999993</v>
      </c>
      <c r="Q28" s="6">
        <f t="shared" si="9"/>
        <v>73239.915600000008</v>
      </c>
      <c r="R28" s="6">
        <f t="shared" si="10"/>
        <v>2445.3814185359997</v>
      </c>
      <c r="S28" s="6">
        <f t="shared" si="11"/>
        <v>164505.72254373605</v>
      </c>
      <c r="T28" s="6">
        <f t="shared" si="5"/>
        <v>9810782.2774562333</v>
      </c>
    </row>
    <row r="29" spans="1:20" x14ac:dyDescent="0.25">
      <c r="A29" s="7">
        <v>45958</v>
      </c>
      <c r="B29" s="14" t="s">
        <v>19</v>
      </c>
      <c r="C29" s="15">
        <v>45986</v>
      </c>
      <c r="D29" s="14" t="s">
        <v>15</v>
      </c>
      <c r="E29" s="14" t="s">
        <v>18</v>
      </c>
      <c r="F29" s="14">
        <v>13200</v>
      </c>
      <c r="G29" s="14">
        <v>26099</v>
      </c>
      <c r="H29" s="14">
        <v>25889.9</v>
      </c>
      <c r="I29" s="6">
        <f t="shared" si="0"/>
        <v>209.09999999999854</v>
      </c>
      <c r="J29" s="6">
        <f t="shared" si="1"/>
        <v>2760119.9999999809</v>
      </c>
      <c r="K29" s="6">
        <f t="shared" si="2"/>
        <v>344506800</v>
      </c>
      <c r="L29" s="6">
        <f t="shared" si="3"/>
        <v>341746680</v>
      </c>
      <c r="M29" s="6">
        <f t="shared" si="4"/>
        <v>686253480</v>
      </c>
      <c r="N29" s="6">
        <f t="shared" si="6"/>
        <v>68901.36</v>
      </c>
      <c r="O29" s="6">
        <f t="shared" si="7"/>
        <v>11872.185203999999</v>
      </c>
      <c r="P29" s="6">
        <f t="shared" si="8"/>
        <v>686.25347999999997</v>
      </c>
      <c r="Q29" s="6">
        <f t="shared" si="9"/>
        <v>68349.33600000001</v>
      </c>
      <c r="R29" s="6">
        <f t="shared" si="10"/>
        <v>2260.5189631199996</v>
      </c>
      <c r="S29" s="6">
        <f t="shared" si="11"/>
        <v>152069.65364711999</v>
      </c>
      <c r="T29" s="6">
        <f t="shared" si="5"/>
        <v>2608050.3463528608</v>
      </c>
    </row>
    <row r="30" spans="1:20" x14ac:dyDescent="0.25">
      <c r="A30" s="7">
        <v>45986</v>
      </c>
      <c r="B30" s="14" t="s">
        <v>14</v>
      </c>
      <c r="C30" s="15">
        <v>46021</v>
      </c>
      <c r="D30" s="14" t="s">
        <v>13</v>
      </c>
      <c r="E30" s="14" t="s">
        <v>18</v>
      </c>
      <c r="F30" s="14">
        <v>27240</v>
      </c>
      <c r="G30" s="14">
        <v>13901.8</v>
      </c>
      <c r="H30" s="14">
        <v>13600</v>
      </c>
      <c r="I30" s="6">
        <f t="shared" si="0"/>
        <v>-301.79999999999927</v>
      </c>
      <c r="J30" s="6">
        <f t="shared" si="1"/>
        <v>-8221031.9999999804</v>
      </c>
      <c r="K30" s="6">
        <f t="shared" si="2"/>
        <v>370464000</v>
      </c>
      <c r="L30" s="6">
        <f t="shared" si="3"/>
        <v>378685032</v>
      </c>
      <c r="M30" s="6">
        <f t="shared" si="4"/>
        <v>749149032</v>
      </c>
      <c r="N30" s="6">
        <f t="shared" si="6"/>
        <v>74092.800000000003</v>
      </c>
      <c r="O30" s="6">
        <f t="shared" si="7"/>
        <v>12960.2782536</v>
      </c>
      <c r="P30" s="6">
        <f t="shared" si="8"/>
        <v>749.14903199999992</v>
      </c>
      <c r="Q30" s="6">
        <f t="shared" si="9"/>
        <v>75737.006399999998</v>
      </c>
      <c r="R30" s="6">
        <f t="shared" si="10"/>
        <v>2467.6969114079998</v>
      </c>
      <c r="S30" s="6">
        <f t="shared" si="11"/>
        <v>166006.930597008</v>
      </c>
      <c r="T30" s="6">
        <f t="shared" si="5"/>
        <v>-8387038.9305969886</v>
      </c>
    </row>
    <row r="31" spans="1:20" x14ac:dyDescent="0.25">
      <c r="A31" s="7">
        <v>45986</v>
      </c>
      <c r="B31" s="14" t="s">
        <v>19</v>
      </c>
      <c r="C31" s="15">
        <v>46021</v>
      </c>
      <c r="D31" s="14" t="s">
        <v>15</v>
      </c>
      <c r="E31" s="14" t="s">
        <v>18</v>
      </c>
      <c r="F31" s="14">
        <v>13200</v>
      </c>
      <c r="G31" s="14">
        <v>26059.9</v>
      </c>
      <c r="H31" s="14">
        <v>25936.7</v>
      </c>
      <c r="I31" s="6">
        <f t="shared" si="0"/>
        <v>123.20000000000073</v>
      </c>
      <c r="J31" s="6">
        <f t="shared" si="1"/>
        <v>1626240.0000000095</v>
      </c>
      <c r="K31" s="6">
        <f t="shared" si="2"/>
        <v>343990680</v>
      </c>
      <c r="L31" s="6">
        <f t="shared" si="3"/>
        <v>342364440</v>
      </c>
      <c r="M31" s="6">
        <f t="shared" si="4"/>
        <v>686355120</v>
      </c>
      <c r="N31" s="6">
        <f t="shared" si="6"/>
        <v>68798.135999999999</v>
      </c>
      <c r="O31" s="6">
        <f t="shared" si="7"/>
        <v>11873.943576</v>
      </c>
      <c r="P31" s="6">
        <f t="shared" si="8"/>
        <v>686.35511999999994</v>
      </c>
      <c r="Q31" s="6">
        <f t="shared" si="9"/>
        <v>68472.888000000006</v>
      </c>
      <c r="R31" s="6">
        <f t="shared" si="10"/>
        <v>2260.8537652800001</v>
      </c>
      <c r="S31" s="6">
        <f t="shared" si="11"/>
        <v>152092.17646127997</v>
      </c>
      <c r="T31" s="6">
        <f t="shared" si="5"/>
        <v>1474147.8235387295</v>
      </c>
    </row>
    <row r="32" spans="1:20" x14ac:dyDescent="0.25">
      <c r="A32" s="7">
        <v>46021</v>
      </c>
      <c r="B32" s="14" t="s">
        <v>14</v>
      </c>
      <c r="C32" s="15">
        <v>46049</v>
      </c>
      <c r="D32" s="14" t="s">
        <v>13</v>
      </c>
      <c r="E32" s="14" t="s">
        <v>18</v>
      </c>
      <c r="F32" s="14">
        <v>27240</v>
      </c>
      <c r="G32" s="14">
        <v>13667.55</v>
      </c>
      <c r="H32" s="14">
        <v>13120.95</v>
      </c>
      <c r="I32" s="6">
        <f t="shared" si="0"/>
        <v>-546.59999999999854</v>
      </c>
      <c r="J32" s="6">
        <f t="shared" si="1"/>
        <v>-14889383.999999961</v>
      </c>
      <c r="K32" s="6">
        <f t="shared" si="2"/>
        <v>357414678</v>
      </c>
      <c r="L32" s="6">
        <f t="shared" si="3"/>
        <v>372304062</v>
      </c>
      <c r="M32" s="6">
        <f t="shared" si="4"/>
        <v>729718740</v>
      </c>
      <c r="N32" s="6">
        <f t="shared" si="6"/>
        <v>71482.935599999997</v>
      </c>
      <c r="O32" s="6">
        <f t="shared" si="7"/>
        <v>12624.134202000001</v>
      </c>
      <c r="P32" s="6">
        <f t="shared" si="8"/>
        <v>729.71873999999991</v>
      </c>
      <c r="Q32" s="6">
        <f t="shared" si="9"/>
        <v>74460.81240000001</v>
      </c>
      <c r="R32" s="6">
        <f t="shared" si="10"/>
        <v>2403.6935295600001</v>
      </c>
      <c r="S32" s="6">
        <f t="shared" si="11"/>
        <v>161701.29447155999</v>
      </c>
      <c r="T32" s="6">
        <f t="shared" si="5"/>
        <v>-15051085.294471521</v>
      </c>
    </row>
    <row r="33" spans="1:22" x14ac:dyDescent="0.25">
      <c r="A33" s="7">
        <v>46021</v>
      </c>
      <c r="B33" s="14" t="s">
        <v>19</v>
      </c>
      <c r="C33" s="15">
        <v>46049</v>
      </c>
      <c r="D33" s="14" t="s">
        <v>15</v>
      </c>
      <c r="E33" s="14" t="s">
        <v>18</v>
      </c>
      <c r="F33" s="14">
        <v>13200</v>
      </c>
      <c r="G33" s="14">
        <v>26117.5</v>
      </c>
      <c r="H33" s="14">
        <v>25174</v>
      </c>
      <c r="I33" s="6">
        <f t="shared" si="0"/>
        <v>943.5</v>
      </c>
      <c r="J33" s="6">
        <f t="shared" si="1"/>
        <v>12454200</v>
      </c>
      <c r="K33" s="6">
        <f t="shared" si="2"/>
        <v>344751000</v>
      </c>
      <c r="L33" s="6">
        <f t="shared" si="3"/>
        <v>332296800</v>
      </c>
      <c r="M33" s="6">
        <f t="shared" si="4"/>
        <v>677047800</v>
      </c>
      <c r="N33" s="6">
        <f t="shared" si="6"/>
        <v>68950.2</v>
      </c>
      <c r="O33" s="6">
        <f t="shared" si="7"/>
        <v>11712.926939999999</v>
      </c>
      <c r="P33" s="6">
        <f t="shared" si="8"/>
        <v>677.04779999999994</v>
      </c>
      <c r="Q33" s="6">
        <f t="shared" si="9"/>
        <v>66459.360000000001</v>
      </c>
      <c r="R33" s="6">
        <f t="shared" si="10"/>
        <v>2230.1954532</v>
      </c>
      <c r="S33" s="6">
        <f t="shared" si="11"/>
        <v>150029.7301932</v>
      </c>
      <c r="T33" s="6">
        <f t="shared" si="5"/>
        <v>12304170.2698068</v>
      </c>
    </row>
    <row r="34" spans="1:22" x14ac:dyDescent="0.25">
      <c r="A34" s="7">
        <v>46049</v>
      </c>
      <c r="B34" s="14" t="s">
        <v>14</v>
      </c>
      <c r="C34" s="15">
        <v>46077</v>
      </c>
      <c r="D34" s="14" t="s">
        <v>13</v>
      </c>
      <c r="E34" s="14" t="s">
        <v>18</v>
      </c>
      <c r="F34" s="14">
        <v>27240</v>
      </c>
      <c r="G34" s="14">
        <v>13191.85</v>
      </c>
      <c r="H34" s="14">
        <v>13441.4</v>
      </c>
      <c r="I34" s="6">
        <f t="shared" si="0"/>
        <v>249.54999999999927</v>
      </c>
      <c r="J34" s="6">
        <f t="shared" si="1"/>
        <v>6797741.9999999804</v>
      </c>
      <c r="K34" s="6">
        <f t="shared" si="2"/>
        <v>366143736</v>
      </c>
      <c r="L34" s="6">
        <f t="shared" si="3"/>
        <v>359345994</v>
      </c>
      <c r="M34" s="6">
        <f t="shared" si="4"/>
        <v>725489730</v>
      </c>
      <c r="N34" s="6">
        <f t="shared" si="6"/>
        <v>73228.747199999998</v>
      </c>
      <c r="O34" s="6">
        <f t="shared" si="7"/>
        <v>12550.972329</v>
      </c>
      <c r="P34" s="6">
        <f t="shared" si="8"/>
        <v>725.48973000000001</v>
      </c>
      <c r="Q34" s="6">
        <f t="shared" si="9"/>
        <v>71869.198799999998</v>
      </c>
      <c r="R34" s="6">
        <f t="shared" si="10"/>
        <v>2389.76317062</v>
      </c>
      <c r="S34" s="6">
        <f t="shared" si="11"/>
        <v>160764.17122961997</v>
      </c>
      <c r="T34" s="6">
        <f t="shared" si="5"/>
        <v>6636977.8287703609</v>
      </c>
    </row>
    <row r="35" spans="1:22" x14ac:dyDescent="0.25">
      <c r="A35" s="7">
        <v>46049</v>
      </c>
      <c r="B35" s="14" t="s">
        <v>19</v>
      </c>
      <c r="C35" s="15">
        <v>46077</v>
      </c>
      <c r="D35" s="14" t="s">
        <v>15</v>
      </c>
      <c r="E35" s="14" t="s">
        <v>18</v>
      </c>
      <c r="F35" s="14">
        <v>13200</v>
      </c>
      <c r="G35" s="14">
        <v>25375.8</v>
      </c>
      <c r="H35" s="14">
        <v>25417.5</v>
      </c>
      <c r="I35" s="6">
        <f t="shared" si="0"/>
        <v>-41.700000000000728</v>
      </c>
      <c r="J35" s="6">
        <f t="shared" si="1"/>
        <v>-550440.00000000955</v>
      </c>
      <c r="K35" s="6">
        <f t="shared" si="2"/>
        <v>334960560</v>
      </c>
      <c r="L35" s="6">
        <f t="shared" si="3"/>
        <v>335511000</v>
      </c>
      <c r="M35" s="6">
        <f t="shared" si="4"/>
        <v>670471560</v>
      </c>
      <c r="N35" s="6">
        <f t="shared" si="6"/>
        <v>66992.112000000008</v>
      </c>
      <c r="O35" s="6">
        <f t="shared" si="7"/>
        <v>11599.157988000001</v>
      </c>
      <c r="P35" s="6">
        <f t="shared" si="8"/>
        <v>670.47155999999995</v>
      </c>
      <c r="Q35" s="6">
        <f t="shared" si="9"/>
        <v>67102.2</v>
      </c>
      <c r="R35" s="6">
        <f t="shared" si="10"/>
        <v>2208.5333186400003</v>
      </c>
      <c r="S35" s="6">
        <f t="shared" si="11"/>
        <v>148572.47486664003</v>
      </c>
      <c r="T35" s="6">
        <f t="shared" si="5"/>
        <v>-699012.4748666496</v>
      </c>
    </row>
    <row r="36" spans="1:22" x14ac:dyDescent="0.25">
      <c r="A36" s="7">
        <v>46077</v>
      </c>
      <c r="B36" s="14" t="s">
        <v>14</v>
      </c>
      <c r="C36" s="15">
        <v>46111</v>
      </c>
      <c r="D36" s="14" t="s">
        <v>13</v>
      </c>
      <c r="E36" s="14" t="s">
        <v>18</v>
      </c>
      <c r="F36" s="14">
        <v>27240</v>
      </c>
      <c r="G36" s="14">
        <v>13490.5</v>
      </c>
      <c r="H36" s="14">
        <v>12164.3</v>
      </c>
      <c r="I36" s="6">
        <f t="shared" si="0"/>
        <v>-1326.2000000000007</v>
      </c>
      <c r="J36" s="6">
        <f t="shared" si="1"/>
        <v>-36125688.000000022</v>
      </c>
      <c r="K36" s="6">
        <f t="shared" si="2"/>
        <v>331355532</v>
      </c>
      <c r="L36" s="6">
        <f t="shared" si="3"/>
        <v>367481220</v>
      </c>
      <c r="M36" s="6">
        <f t="shared" si="4"/>
        <v>698836752</v>
      </c>
      <c r="N36" s="6">
        <f t="shared" si="6"/>
        <v>66271.106400000004</v>
      </c>
      <c r="O36" s="6">
        <f t="shared" si="7"/>
        <v>12089.8758096</v>
      </c>
      <c r="P36" s="6">
        <f t="shared" si="8"/>
        <v>698.83675199999993</v>
      </c>
      <c r="Q36" s="6">
        <f t="shared" si="9"/>
        <v>73496.244000000006</v>
      </c>
      <c r="R36" s="6">
        <f t="shared" si="10"/>
        <v>2301.968261088</v>
      </c>
      <c r="S36" s="6">
        <f t="shared" si="11"/>
        <v>154858.03122268803</v>
      </c>
      <c r="T36" s="6">
        <f t="shared" si="5"/>
        <v>-36280546.031222709</v>
      </c>
    </row>
    <row r="37" spans="1:22" x14ac:dyDescent="0.25">
      <c r="A37" s="7">
        <v>46077</v>
      </c>
      <c r="B37" s="14" t="s">
        <v>19</v>
      </c>
      <c r="C37" s="15">
        <v>46111</v>
      </c>
      <c r="D37" s="14" t="s">
        <v>15</v>
      </c>
      <c r="E37" s="14" t="s">
        <v>18</v>
      </c>
      <c r="F37" s="14">
        <v>13200</v>
      </c>
      <c r="G37" s="14">
        <v>25588.2</v>
      </c>
      <c r="H37" s="14">
        <v>22324</v>
      </c>
      <c r="I37" s="6">
        <f t="shared" si="0"/>
        <v>3264.2000000000007</v>
      </c>
      <c r="J37" s="6">
        <f t="shared" si="1"/>
        <v>43087440.000000007</v>
      </c>
      <c r="K37" s="6">
        <f t="shared" si="2"/>
        <v>337764240</v>
      </c>
      <c r="L37" s="6">
        <f t="shared" si="3"/>
        <v>294676800</v>
      </c>
      <c r="M37" s="6">
        <f t="shared" si="4"/>
        <v>632441040</v>
      </c>
      <c r="N37" s="6">
        <f t="shared" si="6"/>
        <v>67552.847999999998</v>
      </c>
      <c r="O37" s="6">
        <f t="shared" si="7"/>
        <v>10941.229992</v>
      </c>
      <c r="P37" s="6">
        <f t="shared" si="8"/>
        <v>632.44103999999993</v>
      </c>
      <c r="Q37" s="6">
        <f t="shared" si="9"/>
        <v>58935.360000000001</v>
      </c>
      <c r="R37" s="6">
        <f t="shared" si="10"/>
        <v>2083.2607857600001</v>
      </c>
      <c r="S37" s="6">
        <f t="shared" si="11"/>
        <v>140145.13981776003</v>
      </c>
      <c r="T37" s="6">
        <f t="shared" si="5"/>
        <v>42947294.860182248</v>
      </c>
    </row>
    <row r="38" spans="1:22" x14ac:dyDescent="0.25">
      <c r="A38" s="7">
        <v>46111</v>
      </c>
      <c r="B38" s="14" t="s">
        <v>14</v>
      </c>
      <c r="C38" s="15">
        <v>46140</v>
      </c>
      <c r="D38" s="14" t="s">
        <v>13</v>
      </c>
      <c r="E38" s="14" t="s">
        <v>18</v>
      </c>
      <c r="F38" s="14">
        <v>27240</v>
      </c>
      <c r="G38" s="14">
        <v>12160.65</v>
      </c>
      <c r="H38" s="14">
        <v>13970</v>
      </c>
      <c r="I38" s="6">
        <f t="shared" si="0"/>
        <v>1809.3500000000004</v>
      </c>
      <c r="J38" s="6">
        <f t="shared" si="1"/>
        <v>49286694.000000007</v>
      </c>
      <c r="K38" s="6">
        <f t="shared" si="2"/>
        <v>380542800</v>
      </c>
      <c r="L38" s="6">
        <f t="shared" si="3"/>
        <v>331256106</v>
      </c>
      <c r="M38" s="6">
        <f t="shared" si="4"/>
        <v>711798906</v>
      </c>
      <c r="N38" s="6">
        <f>K38*0.05%</f>
        <v>190271.4</v>
      </c>
      <c r="O38" s="6">
        <f t="shared" si="7"/>
        <v>12314.121073800001</v>
      </c>
      <c r="P38" s="6">
        <f t="shared" si="8"/>
        <v>711.79890599999999</v>
      </c>
      <c r="Q38" s="6">
        <f t="shared" si="9"/>
        <v>66251.2212</v>
      </c>
      <c r="R38" s="6">
        <f t="shared" si="10"/>
        <v>2344.6655963640001</v>
      </c>
      <c r="S38" s="6">
        <f t="shared" si="11"/>
        <v>271893.20677616401</v>
      </c>
      <c r="T38" s="6">
        <f t="shared" si="5"/>
        <v>49014800.793223843</v>
      </c>
    </row>
    <row r="39" spans="1:22" x14ac:dyDescent="0.25">
      <c r="A39" s="7">
        <v>46111</v>
      </c>
      <c r="B39" s="14" t="s">
        <v>19</v>
      </c>
      <c r="C39" s="15">
        <v>46140</v>
      </c>
      <c r="D39" s="14" t="s">
        <v>15</v>
      </c>
      <c r="E39" s="14" t="s">
        <v>18</v>
      </c>
      <c r="F39" s="14">
        <v>13200</v>
      </c>
      <c r="G39" s="14">
        <v>22419.4</v>
      </c>
      <c r="H39" s="14">
        <v>23977.1</v>
      </c>
      <c r="I39" s="6">
        <f t="shared" si="0"/>
        <v>-1557.6999999999971</v>
      </c>
      <c r="J39" s="6">
        <f t="shared" si="1"/>
        <v>-20561639.999999963</v>
      </c>
      <c r="K39" s="6">
        <f t="shared" si="2"/>
        <v>295936080</v>
      </c>
      <c r="L39" s="6">
        <f t="shared" si="3"/>
        <v>316497720</v>
      </c>
      <c r="M39" s="6">
        <f t="shared" si="4"/>
        <v>612433800</v>
      </c>
      <c r="N39" s="6">
        <f t="shared" ref="N39:N43" si="12">K39*0.05%</f>
        <v>147968.04</v>
      </c>
      <c r="O39" s="6">
        <f t="shared" si="7"/>
        <v>10595.104740000001</v>
      </c>
      <c r="P39" s="6">
        <f t="shared" si="8"/>
        <v>612.43380000000002</v>
      </c>
      <c r="Q39" s="6">
        <f t="shared" si="9"/>
        <v>63299.544000000002</v>
      </c>
      <c r="R39" s="6">
        <f t="shared" si="10"/>
        <v>2017.3569372000002</v>
      </c>
      <c r="S39" s="6">
        <f t="shared" si="11"/>
        <v>224492.47947720002</v>
      </c>
      <c r="T39" s="6">
        <f t="shared" si="5"/>
        <v>-20786132.479477163</v>
      </c>
    </row>
    <row r="40" spans="1:22" x14ac:dyDescent="0.25">
      <c r="A40" s="7">
        <v>46140</v>
      </c>
      <c r="B40" s="14" t="s">
        <v>14</v>
      </c>
      <c r="C40" s="15">
        <v>46168</v>
      </c>
      <c r="D40" s="14" t="s">
        <v>13</v>
      </c>
      <c r="E40" s="14" t="s">
        <v>18</v>
      </c>
      <c r="F40" s="14">
        <v>27240</v>
      </c>
      <c r="G40" s="14">
        <v>14010</v>
      </c>
      <c r="H40" s="14">
        <v>14676.6</v>
      </c>
      <c r="I40" s="6">
        <f t="shared" si="0"/>
        <v>666.60000000000036</v>
      </c>
      <c r="J40" s="6">
        <f t="shared" si="1"/>
        <v>18158184.000000011</v>
      </c>
      <c r="K40" s="6">
        <f t="shared" si="2"/>
        <v>399790584</v>
      </c>
      <c r="L40" s="6">
        <f t="shared" si="3"/>
        <v>381632400</v>
      </c>
      <c r="M40" s="6">
        <f t="shared" si="4"/>
        <v>781422984</v>
      </c>
      <c r="N40" s="6">
        <f t="shared" si="12"/>
        <v>199895.29200000002</v>
      </c>
      <c r="O40" s="6">
        <f t="shared" si="7"/>
        <v>13518.6176232</v>
      </c>
      <c r="P40" s="6">
        <f t="shared" si="8"/>
        <v>781.42298399999993</v>
      </c>
      <c r="Q40" s="6">
        <f t="shared" si="9"/>
        <v>76326.48000000001</v>
      </c>
      <c r="R40" s="6">
        <f t="shared" si="10"/>
        <v>2574.0073092960001</v>
      </c>
      <c r="S40" s="6">
        <f t="shared" si="11"/>
        <v>293095.819916496</v>
      </c>
      <c r="T40" s="6">
        <f t="shared" si="5"/>
        <v>17865088.180083517</v>
      </c>
    </row>
    <row r="41" spans="1:22" x14ac:dyDescent="0.25">
      <c r="A41" s="7">
        <v>46140</v>
      </c>
      <c r="B41" s="14" t="s">
        <v>19</v>
      </c>
      <c r="C41" s="15">
        <v>46168</v>
      </c>
      <c r="D41" s="14" t="s">
        <v>15</v>
      </c>
      <c r="E41" s="14" t="s">
        <v>18</v>
      </c>
      <c r="F41" s="14">
        <v>13200</v>
      </c>
      <c r="G41" s="14">
        <v>24052.799999999999</v>
      </c>
      <c r="H41" s="14">
        <v>23915</v>
      </c>
      <c r="I41" s="6">
        <f t="shared" si="0"/>
        <v>137.79999999999927</v>
      </c>
      <c r="J41" s="6">
        <f t="shared" si="1"/>
        <v>1818959.9999999905</v>
      </c>
      <c r="K41" s="6">
        <f t="shared" si="2"/>
        <v>317496960</v>
      </c>
      <c r="L41" s="6">
        <f t="shared" si="3"/>
        <v>315678000</v>
      </c>
      <c r="M41" s="6">
        <f t="shared" si="4"/>
        <v>633174960</v>
      </c>
      <c r="N41" s="6">
        <f t="shared" si="12"/>
        <v>158748.48000000001</v>
      </c>
      <c r="O41" s="6">
        <f t="shared" si="7"/>
        <v>10953.926808</v>
      </c>
      <c r="P41" s="6">
        <f t="shared" si="8"/>
        <v>633.17495999999994</v>
      </c>
      <c r="Q41" s="6">
        <f t="shared" si="9"/>
        <v>63135.600000000006</v>
      </c>
      <c r="R41" s="6">
        <f t="shared" si="10"/>
        <v>2085.67831824</v>
      </c>
      <c r="S41" s="6">
        <f t="shared" si="11"/>
        <v>235556.86008624002</v>
      </c>
      <c r="T41" s="6">
        <f t="shared" si="5"/>
        <v>1583403.1399137503</v>
      </c>
    </row>
    <row r="42" spans="1:22" x14ac:dyDescent="0.25">
      <c r="A42" s="7">
        <v>46168</v>
      </c>
      <c r="B42" s="14" t="s">
        <v>14</v>
      </c>
      <c r="C42" s="15">
        <v>46203</v>
      </c>
      <c r="D42" s="14" t="s">
        <v>13</v>
      </c>
      <c r="E42" s="14" t="s">
        <v>18</v>
      </c>
      <c r="F42" s="14">
        <v>27240</v>
      </c>
      <c r="G42" s="14">
        <v>14777</v>
      </c>
      <c r="H42" s="14">
        <v>14426.35</v>
      </c>
      <c r="I42" s="6">
        <f t="shared" si="0"/>
        <v>-350.64999999999964</v>
      </c>
      <c r="J42" s="6">
        <f t="shared" si="1"/>
        <v>-9551705.9999999907</v>
      </c>
      <c r="K42" s="6">
        <f t="shared" si="2"/>
        <v>392973774</v>
      </c>
      <c r="L42" s="6">
        <f t="shared" si="3"/>
        <v>402525480</v>
      </c>
      <c r="M42" s="6">
        <f t="shared" si="4"/>
        <v>795499254</v>
      </c>
      <c r="N42" s="6">
        <f t="shared" si="12"/>
        <v>196486.88700000002</v>
      </c>
      <c r="O42" s="6">
        <f t="shared" si="7"/>
        <v>13762.137094199999</v>
      </c>
      <c r="P42" s="6">
        <f t="shared" si="8"/>
        <v>795.49925399999995</v>
      </c>
      <c r="Q42" s="6">
        <f t="shared" si="9"/>
        <v>80505.096000000005</v>
      </c>
      <c r="R42" s="6">
        <f t="shared" si="10"/>
        <v>2620.3745426759997</v>
      </c>
      <c r="S42" s="6">
        <f t="shared" si="11"/>
        <v>294169.99389087607</v>
      </c>
      <c r="T42" s="6">
        <f t="shared" si="5"/>
        <v>-9845875.9938908666</v>
      </c>
    </row>
    <row r="43" spans="1:22" x14ac:dyDescent="0.25">
      <c r="A43" s="7">
        <v>46168</v>
      </c>
      <c r="B43" s="14" t="s">
        <v>19</v>
      </c>
      <c r="C43" s="15">
        <v>46203</v>
      </c>
      <c r="D43" s="14" t="s">
        <v>15</v>
      </c>
      <c r="E43" s="14" t="s">
        <v>18</v>
      </c>
      <c r="F43" s="14">
        <v>13200</v>
      </c>
      <c r="G43" s="14">
        <v>23978</v>
      </c>
      <c r="H43" s="14">
        <v>23865.75</v>
      </c>
      <c r="I43" s="6">
        <f t="shared" si="0"/>
        <v>112.25</v>
      </c>
      <c r="J43" s="6">
        <f t="shared" si="1"/>
        <v>1481700</v>
      </c>
      <c r="K43" s="6">
        <f t="shared" si="2"/>
        <v>316509600</v>
      </c>
      <c r="L43" s="6">
        <f t="shared" si="3"/>
        <v>315027900</v>
      </c>
      <c r="M43" s="6">
        <f t="shared" si="4"/>
        <v>631537500</v>
      </c>
      <c r="N43" s="6">
        <f t="shared" si="12"/>
        <v>158254.80000000002</v>
      </c>
      <c r="O43" s="6">
        <f t="shared" si="7"/>
        <v>10925.598750000001</v>
      </c>
      <c r="P43" s="6">
        <f t="shared" si="8"/>
        <v>631.53750000000002</v>
      </c>
      <c r="Q43" s="6">
        <f t="shared" si="9"/>
        <v>63005.58</v>
      </c>
      <c r="R43" s="6">
        <f t="shared" si="10"/>
        <v>2080.284525</v>
      </c>
      <c r="S43" s="6">
        <f t="shared" si="11"/>
        <v>234897.80077500004</v>
      </c>
      <c r="T43" s="6">
        <f t="shared" si="5"/>
        <v>1246802.1992249999</v>
      </c>
    </row>
    <row r="44" spans="1:22" x14ac:dyDescent="0.25">
      <c r="A44" s="7">
        <v>46203</v>
      </c>
      <c r="B44" s="14" t="s">
        <v>14</v>
      </c>
      <c r="C44" s="15">
        <v>46231</v>
      </c>
      <c r="D44" s="14" t="s">
        <v>13</v>
      </c>
      <c r="E44" s="14" t="s">
        <v>18</v>
      </c>
      <c r="F44" s="14">
        <v>27240</v>
      </c>
      <c r="G44" s="14">
        <v>14511.15</v>
      </c>
      <c r="H44" s="14">
        <v>14686.8</v>
      </c>
      <c r="I44" s="6">
        <f t="shared" ref="I44:I45" si="13">IF(D44="Short",G44-H44,H44-G44)</f>
        <v>175.64999999999964</v>
      </c>
      <c r="J44" s="6">
        <f t="shared" ref="J44:J45" si="14">I44*F44</f>
        <v>4784705.9999999898</v>
      </c>
      <c r="K44" s="6">
        <f t="shared" ref="K44:K45" si="15">IF(D44="Short",F44*G44,F44*H44)</f>
        <v>400068432</v>
      </c>
      <c r="L44" s="6">
        <f t="shared" ref="L44:L45" si="16">IF(D44="Short",F44*H44,G44*F44)</f>
        <v>395283726</v>
      </c>
      <c r="M44" s="6">
        <f t="shared" ref="M44:M45" si="17">K44+L44</f>
        <v>795352158</v>
      </c>
      <c r="N44" s="6">
        <f t="shared" ref="N44:N45" si="18">K44*0.05%</f>
        <v>200034.21600000001</v>
      </c>
      <c r="O44" s="6">
        <f t="shared" ref="O44:O45" si="19">M44*0.00173%</f>
        <v>13759.5923334</v>
      </c>
      <c r="P44" s="6">
        <f t="shared" ref="P44:P45" si="20">M44*0.0001%</f>
        <v>795.35215799999992</v>
      </c>
      <c r="Q44" s="6">
        <f t="shared" ref="Q44:Q45" si="21">L44*0.02%</f>
        <v>79056.745200000005</v>
      </c>
      <c r="R44" s="6">
        <f t="shared" ref="R44:R45" si="22">(O44+P44)*18%</f>
        <v>2619.8900084519996</v>
      </c>
      <c r="S44" s="6">
        <f t="shared" ref="S44:S45" si="23">SUM(N44:R44)</f>
        <v>296265.79569985205</v>
      </c>
      <c r="T44" s="6">
        <f t="shared" ref="T44:T45" si="24">J44-S44</f>
        <v>4488440.2043001372</v>
      </c>
    </row>
    <row r="45" spans="1:22" x14ac:dyDescent="0.25">
      <c r="A45" s="7">
        <v>46203</v>
      </c>
      <c r="B45" s="14" t="s">
        <v>19</v>
      </c>
      <c r="C45" s="15">
        <v>46231</v>
      </c>
      <c r="D45" s="14" t="s">
        <v>15</v>
      </c>
      <c r="E45" s="14" t="s">
        <v>18</v>
      </c>
      <c r="F45" s="14">
        <v>13200</v>
      </c>
      <c r="G45" s="14">
        <v>24009.1</v>
      </c>
      <c r="H45" s="14">
        <v>23999.3</v>
      </c>
      <c r="I45" s="6">
        <f t="shared" si="13"/>
        <v>9.7999999999992724</v>
      </c>
      <c r="J45" s="6">
        <f t="shared" si="14"/>
        <v>129359.9999999904</v>
      </c>
      <c r="K45" s="6">
        <f t="shared" si="15"/>
        <v>316920120</v>
      </c>
      <c r="L45" s="6">
        <f t="shared" si="16"/>
        <v>316790760</v>
      </c>
      <c r="M45" s="6">
        <f t="shared" si="17"/>
        <v>633710880</v>
      </c>
      <c r="N45" s="6">
        <f t="shared" si="18"/>
        <v>158460.06</v>
      </c>
      <c r="O45" s="6">
        <f t="shared" si="19"/>
        <v>10963.198224</v>
      </c>
      <c r="P45" s="6">
        <f t="shared" si="20"/>
        <v>633.71087999999997</v>
      </c>
      <c r="Q45" s="6">
        <f t="shared" si="21"/>
        <v>63358.152000000002</v>
      </c>
      <c r="R45" s="6">
        <f t="shared" si="22"/>
        <v>2087.4436387199999</v>
      </c>
      <c r="S45" s="6">
        <f t="shared" si="23"/>
        <v>235502.56474271999</v>
      </c>
      <c r="T45" s="6">
        <f t="shared" si="24"/>
        <v>-106142.56474272959</v>
      </c>
    </row>
    <row r="48" spans="1:22" x14ac:dyDescent="0.25">
      <c r="V48">
        <v>450000</v>
      </c>
    </row>
    <row r="49" spans="15:22" x14ac:dyDescent="0.25">
      <c r="V49">
        <v>107000</v>
      </c>
    </row>
    <row r="50" spans="15:22" x14ac:dyDescent="0.25">
      <c r="V50" s="9">
        <f>V49/V48</f>
        <v>0.23777777777777778</v>
      </c>
    </row>
    <row r="52" spans="15:22" x14ac:dyDescent="0.25">
      <c r="O5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P&amp;L 30 Cr.</vt:lpstr>
      <vt:lpstr>P&amp;L 30 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AFF06</dc:creator>
  <cp:lastModifiedBy>AFF14</cp:lastModifiedBy>
  <dcterms:created xsi:type="dcterms:W3CDTF">2026-06-25T13:12:55Z</dcterms:created>
  <dcterms:modified xsi:type="dcterms:W3CDTF">2026-07-09T11:22:41Z</dcterms:modified>
</cp:coreProperties>
</file>