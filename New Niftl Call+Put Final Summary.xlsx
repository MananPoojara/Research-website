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Z:\Nirma Interns\SIP 2026\Jaivrat Singh Jodha\Work\Nifty CE &amp; PE Both Leg\"/>
    </mc:Choice>
  </mc:AlternateContent>
  <xr:revisionPtr revIDLastSave="0" documentId="13_ncr:1_{2A26B4CD-BA03-4889-9783-77FAC6EDDC43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RULES" sheetId="1" r:id="rId1"/>
    <sheet name="Summar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8" i="2" l="1"/>
  <c r="I68" i="2"/>
  <c r="H68" i="2"/>
  <c r="G68" i="2"/>
  <c r="F68" i="2"/>
  <c r="E68" i="2"/>
  <c r="D68" i="2"/>
  <c r="C68" i="2"/>
  <c r="B68" i="2"/>
  <c r="J41" i="2"/>
  <c r="I41" i="2"/>
  <c r="H41" i="2"/>
  <c r="G41" i="2"/>
  <c r="F41" i="2"/>
  <c r="E41" i="2"/>
  <c r="D41" i="2"/>
  <c r="C41" i="2"/>
  <c r="C52" i="2" s="1"/>
  <c r="B41" i="2"/>
  <c r="B52" i="2" s="1"/>
  <c r="J14" i="2"/>
  <c r="I14" i="2"/>
  <c r="H14" i="2"/>
  <c r="H25" i="2" s="1"/>
  <c r="G14" i="2"/>
  <c r="F14" i="2"/>
  <c r="E14" i="2"/>
  <c r="D14" i="2"/>
  <c r="C14" i="2"/>
  <c r="B14" i="2"/>
  <c r="B25" i="2" s="1"/>
  <c r="D52" i="2"/>
  <c r="J79" i="2"/>
  <c r="I79" i="2"/>
  <c r="H79" i="2"/>
  <c r="G79" i="2"/>
  <c r="F79" i="2"/>
  <c r="E79" i="2"/>
  <c r="D79" i="2"/>
  <c r="C79" i="2"/>
  <c r="B79" i="2"/>
  <c r="J52" i="2"/>
  <c r="I52" i="2"/>
  <c r="H52" i="2"/>
  <c r="G52" i="2"/>
  <c r="F52" i="2"/>
  <c r="E52" i="2"/>
  <c r="J25" i="2"/>
  <c r="I25" i="2"/>
  <c r="G25" i="2"/>
  <c r="F25" i="2"/>
  <c r="E25" i="2"/>
  <c r="D25" i="2"/>
  <c r="C25" i="2"/>
  <c r="J78" i="2"/>
  <c r="I78" i="2"/>
  <c r="H78" i="2"/>
  <c r="G78" i="2"/>
  <c r="F78" i="2"/>
  <c r="E78" i="2"/>
  <c r="D78" i="2"/>
  <c r="C78" i="2"/>
  <c r="B78" i="2"/>
  <c r="J77" i="2"/>
  <c r="I77" i="2"/>
  <c r="H77" i="2"/>
  <c r="G77" i="2"/>
  <c r="F77" i="2"/>
  <c r="E77" i="2"/>
  <c r="D77" i="2"/>
  <c r="C77" i="2"/>
  <c r="B77" i="2"/>
  <c r="F49" i="2"/>
  <c r="J51" i="2"/>
  <c r="I51" i="2"/>
  <c r="H51" i="2"/>
  <c r="G51" i="2"/>
  <c r="F51" i="2"/>
  <c r="E51" i="2"/>
  <c r="D51" i="2"/>
  <c r="C51" i="2"/>
  <c r="B51" i="2"/>
  <c r="J50" i="2"/>
  <c r="I50" i="2"/>
  <c r="H50" i="2"/>
  <c r="G50" i="2"/>
  <c r="F50" i="2"/>
  <c r="E50" i="2"/>
  <c r="D50" i="2"/>
  <c r="C50" i="2"/>
  <c r="B50" i="2"/>
  <c r="J24" i="2"/>
  <c r="I24" i="2"/>
  <c r="H24" i="2"/>
  <c r="G24" i="2"/>
  <c r="F24" i="2"/>
  <c r="E24" i="2"/>
  <c r="D24" i="2"/>
  <c r="C24" i="2"/>
  <c r="J23" i="2"/>
  <c r="I23" i="2"/>
  <c r="H23" i="2"/>
  <c r="G23" i="2"/>
  <c r="F23" i="2"/>
  <c r="E23" i="2"/>
  <c r="D23" i="2"/>
  <c r="C23" i="2"/>
  <c r="B24" i="2"/>
  <c r="B23" i="2"/>
  <c r="B76" i="2"/>
  <c r="B49" i="2"/>
  <c r="B22" i="2"/>
</calcChain>
</file>

<file path=xl/sharedStrings.xml><?xml version="1.0" encoding="utf-8"?>
<sst xmlns="http://schemas.openxmlformats.org/spreadsheetml/2006/main" count="155" uniqueCount="66">
  <si>
    <t>Rules</t>
  </si>
  <si>
    <t xml:space="preserve">Period: </t>
  </si>
  <si>
    <t>01-01-2019 to 19/05/2026</t>
  </si>
  <si>
    <t>Entry Variations:</t>
  </si>
  <si>
    <t>1). Same-Day Expiry Entry @09:16AM</t>
  </si>
  <si>
    <t>2). One-Day Before Expiry Entry (Morning @09:16AM)</t>
  </si>
  <si>
    <t>3). One-Day Before Expiry Entry (Afternoon @02:58PM)</t>
  </si>
  <si>
    <t>Exit Time:</t>
  </si>
  <si>
    <t>03:28 PM on Expiry day</t>
  </si>
  <si>
    <t>Straddle Width Variations:</t>
  </si>
  <si>
    <t>Slippage:</t>
  </si>
  <si>
    <t>Position Type:</t>
  </si>
  <si>
    <t>Sell Call Put Option (Short CE/PE Position)</t>
  </si>
  <si>
    <t xml:space="preserve">1.0, 1.5, 2.0  </t>
  </si>
  <si>
    <t>NIFTY Weekly Expiry Call &amp; Put Option Selling Strategy</t>
  </si>
  <si>
    <t>CE_1&amp;PE_1</t>
  </si>
  <si>
    <t>CE_1&amp;PE_1.5</t>
  </si>
  <si>
    <t>CE_1&amp;PE_2</t>
  </si>
  <si>
    <t>Overall Profit</t>
  </si>
  <si>
    <t>No. of Trades</t>
  </si>
  <si>
    <t>Average Profit per Trade</t>
  </si>
  <si>
    <t>Win %</t>
  </si>
  <si>
    <t>Loss %</t>
  </si>
  <si>
    <t>Average Profit on Winning Trades</t>
  </si>
  <si>
    <t>Average Loss on Losing Trades</t>
  </si>
  <si>
    <t>Max Profit in Single Trade</t>
  </si>
  <si>
    <t>Max Loss in Single Trade</t>
  </si>
  <si>
    <t>Max Drawdown</t>
  </si>
  <si>
    <t>Duration of Max Drawdown</t>
  </si>
  <si>
    <t>29 [17/04/2025 to 15/05/2025]</t>
  </si>
  <si>
    <t>Return/MaxDD</t>
  </si>
  <si>
    <t>Reward to Risk Ratio</t>
  </si>
  <si>
    <t>Expectancy Ratio</t>
  </si>
  <si>
    <t>Max Win Streak (trades)</t>
  </si>
  <si>
    <t>Max Losing Streak (trades)</t>
  </si>
  <si>
    <t>Max trades in any drawdown</t>
  </si>
  <si>
    <t>CE_1.5&amp;PE_1</t>
  </si>
  <si>
    <t>CE_1.5&amp;PE_1.5</t>
  </si>
  <si>
    <t>CE_1.5&amp;PE_2</t>
  </si>
  <si>
    <t>71 [17/04/2025 to 26/06/2025]</t>
  </si>
  <si>
    <t>CE_2&amp;PE_1</t>
  </si>
  <si>
    <t>CE_2&amp;PE_1.5</t>
  </si>
  <si>
    <t>CE_2&amp;PE_2</t>
  </si>
  <si>
    <t>134 [03/02/2022 to 16/06/2022]</t>
  </si>
  <si>
    <t>156 [23/02/2022 to 28/07/2022]</t>
  </si>
  <si>
    <t>170 [09/02/2022 to 28/07/2022]</t>
  </si>
  <si>
    <t>86 [23/02/2022 to 19/05/2022]</t>
  </si>
  <si>
    <t>2 [23/02/2022 to 24/02/2022]</t>
  </si>
  <si>
    <t>DAY BEFORE @2:58PM</t>
  </si>
  <si>
    <t>23 [11/09/2024 to 03/10/2024]</t>
  </si>
  <si>
    <t>205 [27/10/2021 to 19/05/2022]</t>
  </si>
  <si>
    <t>233 [27/10/2021 to 16/06/2022]</t>
  </si>
  <si>
    <t>SAME DAY @9:16AM</t>
  </si>
  <si>
    <t>DAY BEFORE @9:16AM</t>
  </si>
  <si>
    <t xml:space="preserve">Max Profit </t>
  </si>
  <si>
    <t xml:space="preserve">To Cover Single T. Max Loss </t>
  </si>
  <si>
    <t xml:space="preserve">To Cover Max DD </t>
  </si>
  <si>
    <t>Most Balanced Choice</t>
  </si>
  <si>
    <t>Comparatively Safest Choice</t>
  </si>
  <si>
    <t>Most Profitable  Choice</t>
  </si>
  <si>
    <t>Profit</t>
  </si>
  <si>
    <t>Choice</t>
  </si>
  <si>
    <t>Strike=ATM Strike - (Straddle Width×ATM Straddle Price)</t>
  </si>
  <si>
    <t>Strike=ATM Strike + (Straddle Width×ATM Straddle Price)</t>
  </si>
  <si>
    <t>Put Strike Formula:</t>
  </si>
  <si>
    <t>Call Strike Formula: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</si>
</sst>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₹&quot;\ #,##0;[Red]&quot;₹&quot;\ \-#,##0"/>
    <numFmt numFmtId="8" formatCode="&quot;₹&quot;\ #,##0.00;[Red]&quot;₹&quot;\ \-#,##0.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5" xfId="0" applyFon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9" fontId="0" fillId="0" borderId="5" xfId="0" applyNumberFormat="1" applyBorder="1" applyAlignment="1">
      <alignment horizontal="center" vertical="center"/>
    </xf>
    <xf numFmtId="8" fontId="0" fillId="0" borderId="5" xfId="0" applyNumberFormat="1" applyBorder="1" applyAlignment="1">
      <alignment horizontal="center" vertical="center"/>
    </xf>
    <xf numFmtId="6" fontId="0" fillId="0" borderId="5" xfId="0" applyNumberFormat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8" fontId="1" fillId="3" borderId="0" xfId="0" applyNumberFormat="1" applyFont="1" applyFill="1" applyAlignment="1">
      <alignment horizontal="center" vertical="center"/>
    </xf>
    <xf numFmtId="2" fontId="1" fillId="5" borderId="0" xfId="0" applyNumberFormat="1" applyFont="1" applyFill="1" applyAlignment="1">
      <alignment horizontal="center" vertical="center"/>
    </xf>
    <xf numFmtId="2" fontId="1" fillId="6" borderId="0" xfId="0" applyNumberFormat="1" applyFont="1" applyFill="1" applyAlignment="1">
      <alignment horizontal="center" vertical="center"/>
    </xf>
    <xf numFmtId="2" fontId="1" fillId="2" borderId="0" xfId="0" applyNumberFormat="1" applyFont="1" applyFill="1" applyAlignment="1">
      <alignment horizontal="center" vertical="center"/>
    </xf>
    <xf numFmtId="0" fontId="5" fillId="0" borderId="0" xfId="0" applyFont="1"/>
    <xf numFmtId="0" fontId="0" fillId="0" borderId="0" xfId="0" applyAlignment="1">
      <alignment horizontal="center" vertical="center"/>
    </xf>
    <xf numFmtId="8" fontId="1" fillId="7" borderId="5" xfId="0" applyNumberFormat="1" applyFont="1" applyFill="1" applyBorder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8" fontId="1" fillId="8" borderId="0" xfId="0" applyNumberFormat="1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8" borderId="5" xfId="0" applyFill="1" applyBorder="1" applyAlignment="1">
      <alignment horizontal="center" vertical="center"/>
    </xf>
    <xf numFmtId="0" fontId="0" fillId="10" borderId="0" xfId="0" applyFill="1" applyAlignment="1">
      <alignment horizontal="center" vertical="center"/>
    </xf>
    <xf numFmtId="8" fontId="1" fillId="3" borderId="5" xfId="0" applyNumberFormat="1" applyFont="1" applyFill="1" applyBorder="1" applyAlignment="1">
      <alignment horizontal="center" vertical="center"/>
    </xf>
    <xf numFmtId="0" fontId="0" fillId="11" borderId="5" xfId="0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8" fontId="0" fillId="4" borderId="5" xfId="0" applyNumberFormat="1" applyFill="1" applyBorder="1" applyAlignment="1">
      <alignment horizontal="center" vertical="center"/>
    </xf>
    <xf numFmtId="6" fontId="0" fillId="9" borderId="5" xfId="0" applyNumberFormat="1" applyFill="1" applyBorder="1" applyAlignment="1">
      <alignment horizontal="center" vertical="center"/>
    </xf>
    <xf numFmtId="8" fontId="0" fillId="3" borderId="5" xfId="0" applyNumberFormat="1" applyFill="1" applyBorder="1" applyAlignment="1">
      <alignment horizontal="center" vertical="center"/>
    </xf>
    <xf numFmtId="0" fontId="0" fillId="9" borderId="0" xfId="0" applyFill="1" applyAlignment="1">
      <alignment horizontal="center" vertical="center"/>
    </xf>
    <xf numFmtId="8" fontId="1" fillId="12" borderId="5" xfId="0" applyNumberFormat="1" applyFont="1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8" fontId="1" fillId="0" borderId="5" xfId="0" applyNumberFormat="1" applyFont="1" applyBorder="1" applyAlignment="1">
      <alignment horizontal="center" vertical="center"/>
    </xf>
    <xf numFmtId="6" fontId="1" fillId="0" borderId="5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4:E15"/>
  <sheetViews>
    <sheetView workbookViewId="0">
      <selection activeCell="D15" sqref="D15"/>
    </sheetView>
  </sheetViews>
  <sheetFormatPr defaultRowHeight="15" x14ac:dyDescent="0.25"/>
  <cols>
    <col min="4" max="4" width="24.85546875" bestFit="1" customWidth="1"/>
    <col min="5" max="5" width="56.28515625" bestFit="1" customWidth="1"/>
  </cols>
  <sheetData>
    <row r="4" spans="4:5" ht="18.75" x14ac:dyDescent="0.25">
      <c r="D4" s="40" t="s">
        <v>0</v>
      </c>
      <c r="E4" s="41"/>
    </row>
    <row r="5" spans="4:5" x14ac:dyDescent="0.25">
      <c r="D5" s="42" t="s">
        <v>14</v>
      </c>
      <c r="E5" s="43"/>
    </row>
    <row r="6" spans="4:5" x14ac:dyDescent="0.25">
      <c r="D6" s="1" t="s">
        <v>1</v>
      </c>
      <c r="E6" s="2" t="s">
        <v>2</v>
      </c>
    </row>
    <row r="7" spans="4:5" x14ac:dyDescent="0.25">
      <c r="D7" s="3" t="s">
        <v>3</v>
      </c>
      <c r="E7" s="4" t="s">
        <v>4</v>
      </c>
    </row>
    <row r="8" spans="4:5" x14ac:dyDescent="0.25">
      <c r="D8" s="5"/>
      <c r="E8" s="6" t="s">
        <v>5</v>
      </c>
    </row>
    <row r="9" spans="4:5" x14ac:dyDescent="0.25">
      <c r="D9" s="7"/>
      <c r="E9" s="8" t="s">
        <v>6</v>
      </c>
    </row>
    <row r="10" spans="4:5" x14ac:dyDescent="0.25">
      <c r="D10" s="1" t="s">
        <v>7</v>
      </c>
      <c r="E10" s="9" t="s">
        <v>8</v>
      </c>
    </row>
    <row r="11" spans="4:5" x14ac:dyDescent="0.25">
      <c r="D11" s="1" t="s">
        <v>9</v>
      </c>
      <c r="E11" s="1" t="s">
        <v>13</v>
      </c>
    </row>
    <row r="12" spans="4:5" x14ac:dyDescent="0.25">
      <c r="D12" s="1" t="s">
        <v>10</v>
      </c>
      <c r="E12" s="10">
        <v>0.01</v>
      </c>
    </row>
    <row r="13" spans="4:5" x14ac:dyDescent="0.25">
      <c r="D13" s="1" t="s">
        <v>11</v>
      </c>
      <c r="E13" s="9" t="s">
        <v>12</v>
      </c>
    </row>
    <row r="14" spans="4:5" x14ac:dyDescent="0.25">
      <c r="D14" s="1" t="s">
        <v>65</v>
      </c>
      <c r="E14" s="9" t="s">
        <v>63</v>
      </c>
    </row>
    <row r="15" spans="4:5" x14ac:dyDescent="0.25">
      <c r="D15" s="1" t="s">
        <v>64</v>
      </c>
      <c r="E15" s="9" t="s">
        <v>62</v>
      </c>
    </row>
  </sheetData>
  <mergeCells count="2">
    <mergeCell ref="D4:E4"/>
    <mergeCell ref="D5:E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751D7-5BD3-41BB-8E6F-B4A8986C05C6}">
  <dimension ref="A2:J99"/>
  <sheetViews>
    <sheetView tabSelected="1" topLeftCell="A7" zoomScale="90" zoomScaleNormal="90" workbookViewId="0">
      <selection activeCell="C17" sqref="C17"/>
    </sheetView>
  </sheetViews>
  <sheetFormatPr defaultRowHeight="15" x14ac:dyDescent="0.25"/>
  <cols>
    <col min="1" max="1" width="36.42578125" bestFit="1" customWidth="1"/>
    <col min="2" max="5" width="31.7109375" bestFit="1" customWidth="1"/>
    <col min="6" max="6" width="32.85546875" bestFit="1" customWidth="1"/>
    <col min="7" max="7" width="31.7109375" bestFit="1" customWidth="1"/>
    <col min="8" max="8" width="31.140625" bestFit="1" customWidth="1"/>
    <col min="9" max="9" width="30.28515625" bestFit="1" customWidth="1"/>
    <col min="10" max="10" width="30" bestFit="1" customWidth="1"/>
  </cols>
  <sheetData>
    <row r="2" spans="1:10" ht="23.25" x14ac:dyDescent="0.25">
      <c r="A2" s="14" t="s">
        <v>52</v>
      </c>
      <c r="B2" s="13" t="s">
        <v>15</v>
      </c>
      <c r="C2" s="13" t="s">
        <v>16</v>
      </c>
      <c r="D2" s="13" t="s">
        <v>17</v>
      </c>
      <c r="E2" s="13" t="s">
        <v>36</v>
      </c>
      <c r="F2" s="13" t="s">
        <v>37</v>
      </c>
      <c r="G2" s="13" t="s">
        <v>38</v>
      </c>
      <c r="H2" s="13" t="s">
        <v>40</v>
      </c>
      <c r="I2" s="13" t="s">
        <v>41</v>
      </c>
      <c r="J2" s="13" t="s">
        <v>42</v>
      </c>
    </row>
    <row r="3" spans="1:10" x14ac:dyDescent="0.25">
      <c r="A3" s="9" t="s">
        <v>18</v>
      </c>
      <c r="B3" s="29">
        <v>164935.04999999999</v>
      </c>
      <c r="C3" s="11">
        <v>148353.9</v>
      </c>
      <c r="D3" s="11">
        <v>142540.54999999999</v>
      </c>
      <c r="E3" s="11">
        <v>135773.25</v>
      </c>
      <c r="F3" s="11">
        <v>119192.15</v>
      </c>
      <c r="G3" s="11">
        <v>113378.8</v>
      </c>
      <c r="H3" s="11">
        <v>119356</v>
      </c>
      <c r="I3" s="11">
        <v>102775</v>
      </c>
      <c r="J3" s="11">
        <v>96961.8</v>
      </c>
    </row>
    <row r="4" spans="1:10" x14ac:dyDescent="0.25">
      <c r="A4" s="9" t="s">
        <v>19</v>
      </c>
      <c r="B4" s="9">
        <v>380</v>
      </c>
      <c r="C4" s="9">
        <v>380</v>
      </c>
      <c r="D4" s="9">
        <v>380</v>
      </c>
      <c r="E4" s="9">
        <v>380</v>
      </c>
      <c r="F4" s="9">
        <v>380</v>
      </c>
      <c r="G4" s="9">
        <v>380</v>
      </c>
      <c r="H4" s="9">
        <v>380</v>
      </c>
      <c r="I4" s="9">
        <v>380</v>
      </c>
      <c r="J4" s="9">
        <v>380</v>
      </c>
    </row>
    <row r="5" spans="1:10" x14ac:dyDescent="0.25">
      <c r="A5" s="9" t="s">
        <v>20</v>
      </c>
      <c r="B5" s="11">
        <v>434.04</v>
      </c>
      <c r="C5" s="11">
        <v>390.41</v>
      </c>
      <c r="D5" s="11">
        <v>375.11</v>
      </c>
      <c r="E5" s="11">
        <v>357.3</v>
      </c>
      <c r="F5" s="11">
        <v>313.66000000000003</v>
      </c>
      <c r="G5" s="11">
        <v>298.37</v>
      </c>
      <c r="H5" s="11">
        <v>314.08999999999997</v>
      </c>
      <c r="I5" s="11">
        <v>270.45999999999998</v>
      </c>
      <c r="J5" s="11">
        <v>255.16</v>
      </c>
    </row>
    <row r="6" spans="1:10" x14ac:dyDescent="0.25">
      <c r="A6" s="9" t="s">
        <v>21</v>
      </c>
      <c r="B6" s="9">
        <v>73.16</v>
      </c>
      <c r="C6" s="9">
        <v>77.37</v>
      </c>
      <c r="D6" s="9">
        <v>81.05</v>
      </c>
      <c r="E6" s="9">
        <v>77.89</v>
      </c>
      <c r="F6" s="9">
        <v>82.11</v>
      </c>
      <c r="G6" s="9">
        <v>87.89</v>
      </c>
      <c r="H6" s="9">
        <v>80.790000000000006</v>
      </c>
      <c r="I6" s="9">
        <v>85.79</v>
      </c>
      <c r="J6" s="9">
        <v>92.11</v>
      </c>
    </row>
    <row r="7" spans="1:10" x14ac:dyDescent="0.25">
      <c r="A7" s="9" t="s">
        <v>22</v>
      </c>
      <c r="B7" s="9">
        <v>26.84</v>
      </c>
      <c r="C7" s="9">
        <v>22.63</v>
      </c>
      <c r="D7" s="9">
        <v>18.95</v>
      </c>
      <c r="E7" s="9">
        <v>22.11</v>
      </c>
      <c r="F7" s="9">
        <v>17.89</v>
      </c>
      <c r="G7" s="9">
        <v>12.11</v>
      </c>
      <c r="H7" s="9">
        <v>19.21</v>
      </c>
      <c r="I7" s="9">
        <v>14.21</v>
      </c>
      <c r="J7" s="9">
        <v>7.89</v>
      </c>
    </row>
    <row r="8" spans="1:10" x14ac:dyDescent="0.25">
      <c r="A8" s="9" t="s">
        <v>23</v>
      </c>
      <c r="B8" s="11">
        <v>2132.2800000000002</v>
      </c>
      <c r="C8" s="11">
        <v>1665.85</v>
      </c>
      <c r="D8" s="11">
        <v>1384.6</v>
      </c>
      <c r="E8" s="11">
        <v>1715.33</v>
      </c>
      <c r="F8" s="11">
        <v>1211.07</v>
      </c>
      <c r="G8" s="11">
        <v>895.51</v>
      </c>
      <c r="H8" s="11">
        <v>1492.91</v>
      </c>
      <c r="I8" s="11">
        <v>974.38</v>
      </c>
      <c r="J8" s="11">
        <v>646.13</v>
      </c>
    </row>
    <row r="9" spans="1:10" x14ac:dyDescent="0.25">
      <c r="A9" s="9" t="s">
        <v>24</v>
      </c>
      <c r="B9" s="11">
        <v>-4194.49</v>
      </c>
      <c r="C9" s="11">
        <v>-3969.84</v>
      </c>
      <c r="D9" s="11">
        <v>-3943.27</v>
      </c>
      <c r="E9" s="11">
        <v>-4428.13</v>
      </c>
      <c r="F9" s="11">
        <v>-3803.83</v>
      </c>
      <c r="G9" s="11">
        <v>-4037.43</v>
      </c>
      <c r="H9" s="11">
        <v>-4643.38</v>
      </c>
      <c r="I9" s="11">
        <v>-3979.12</v>
      </c>
      <c r="J9" s="11">
        <v>-4306.16</v>
      </c>
    </row>
    <row r="10" spans="1:10" x14ac:dyDescent="0.25">
      <c r="A10" s="9" t="s">
        <v>25</v>
      </c>
      <c r="B10" s="11">
        <v>8934.85</v>
      </c>
      <c r="C10" s="12">
        <v>6866</v>
      </c>
      <c r="D10" s="12">
        <v>6270.75</v>
      </c>
      <c r="E10" s="12">
        <v>7255.3</v>
      </c>
      <c r="F10" s="12">
        <v>4153.6499999999996</v>
      </c>
      <c r="G10" s="12">
        <v>3558.4</v>
      </c>
      <c r="H10" s="12">
        <v>5727</v>
      </c>
      <c r="I10" s="12">
        <v>3148.6</v>
      </c>
      <c r="J10" s="12">
        <v>2181.3000000000002</v>
      </c>
    </row>
    <row r="11" spans="1:10" x14ac:dyDescent="0.25">
      <c r="A11" s="9" t="s">
        <v>26</v>
      </c>
      <c r="B11" s="11">
        <v>-20909.45</v>
      </c>
      <c r="C11" s="11">
        <v>-21443.4</v>
      </c>
      <c r="D11" s="11">
        <v>-21662.2</v>
      </c>
      <c r="E11" s="11">
        <v>-20746.599999999999</v>
      </c>
      <c r="F11" s="11">
        <v>-18505.75</v>
      </c>
      <c r="G11" s="11">
        <v>-18724.55</v>
      </c>
      <c r="H11" s="11">
        <v>-20939.7</v>
      </c>
      <c r="I11" s="11">
        <v>-18146.349999999999</v>
      </c>
      <c r="J11" s="11">
        <v>-15592.2</v>
      </c>
    </row>
    <row r="12" spans="1:10" x14ac:dyDescent="0.25">
      <c r="A12" s="9" t="s">
        <v>27</v>
      </c>
      <c r="B12" s="11">
        <v>-33422.449999999997</v>
      </c>
      <c r="C12" s="11">
        <v>-35600.449999999997</v>
      </c>
      <c r="D12" s="11">
        <v>-34223.050000000003</v>
      </c>
      <c r="E12" s="11">
        <v>-28412.1</v>
      </c>
      <c r="F12" s="11">
        <v>-30249.05</v>
      </c>
      <c r="G12" s="11">
        <v>-28871.65</v>
      </c>
      <c r="H12" s="11">
        <v>-23622.15</v>
      </c>
      <c r="I12" s="11">
        <v>-21616.15</v>
      </c>
      <c r="J12" s="11">
        <v>-20238.7</v>
      </c>
    </row>
    <row r="13" spans="1:10" x14ac:dyDescent="0.25">
      <c r="A13" s="9" t="s">
        <v>28</v>
      </c>
      <c r="B13" s="9" t="s">
        <v>29</v>
      </c>
      <c r="C13" s="9" t="s">
        <v>29</v>
      </c>
      <c r="D13" s="9" t="s">
        <v>29</v>
      </c>
      <c r="E13" s="9" t="s">
        <v>39</v>
      </c>
      <c r="F13" s="9" t="s">
        <v>29</v>
      </c>
      <c r="G13" s="9" t="s">
        <v>29</v>
      </c>
      <c r="H13" s="9" t="s">
        <v>43</v>
      </c>
      <c r="I13" s="9" t="s">
        <v>29</v>
      </c>
      <c r="J13" s="9" t="s">
        <v>29</v>
      </c>
    </row>
    <row r="14" spans="1:10" x14ac:dyDescent="0.25">
      <c r="A14" s="9"/>
      <c r="B14" s="9" t="str">
        <f>TRIM(LEFT(B13,FIND("[",B13)-1))</f>
        <v>29</v>
      </c>
      <c r="C14" s="9" t="str">
        <f t="shared" ref="C14:J14" si="0">TRIM(LEFT(C13,FIND("[",C13)-1))</f>
        <v>29</v>
      </c>
      <c r="D14" s="9" t="str">
        <f t="shared" si="0"/>
        <v>29</v>
      </c>
      <c r="E14" s="9" t="str">
        <f t="shared" si="0"/>
        <v>71</v>
      </c>
      <c r="F14" s="9" t="str">
        <f t="shared" si="0"/>
        <v>29</v>
      </c>
      <c r="G14" s="9" t="str">
        <f t="shared" si="0"/>
        <v>29</v>
      </c>
      <c r="H14" s="9" t="str">
        <f t="shared" si="0"/>
        <v>134</v>
      </c>
      <c r="I14" s="9" t="str">
        <f t="shared" si="0"/>
        <v>29</v>
      </c>
      <c r="J14" s="9" t="str">
        <f t="shared" si="0"/>
        <v>29</v>
      </c>
    </row>
    <row r="15" spans="1:10" x14ac:dyDescent="0.25">
      <c r="A15" s="9" t="s">
        <v>30</v>
      </c>
      <c r="B15" s="9">
        <v>0.68</v>
      </c>
      <c r="C15" s="9">
        <v>0.56999999999999995</v>
      </c>
      <c r="D15" s="9">
        <v>0.56999999999999995</v>
      </c>
      <c r="E15" s="9">
        <v>0.66</v>
      </c>
      <c r="F15" s="9">
        <v>0.54</v>
      </c>
      <c r="G15" s="9">
        <v>0.54</v>
      </c>
      <c r="H15" s="9">
        <v>0.7</v>
      </c>
      <c r="I15" s="9">
        <v>0.65</v>
      </c>
      <c r="J15" s="9">
        <v>0.66</v>
      </c>
    </row>
    <row r="16" spans="1:10" x14ac:dyDescent="0.25">
      <c r="A16" s="9" t="s">
        <v>31</v>
      </c>
      <c r="B16" s="9">
        <v>0.51</v>
      </c>
      <c r="C16" s="9">
        <v>0.42</v>
      </c>
      <c r="D16" s="9">
        <v>0.35</v>
      </c>
      <c r="E16" s="9">
        <v>0.39</v>
      </c>
      <c r="F16" s="9">
        <v>0.32</v>
      </c>
      <c r="G16" s="9">
        <v>0.22</v>
      </c>
      <c r="H16" s="9">
        <v>0.32</v>
      </c>
      <c r="I16" s="9">
        <v>0.24</v>
      </c>
      <c r="J16" s="9">
        <v>0.15</v>
      </c>
    </row>
    <row r="17" spans="1:10" x14ac:dyDescent="0.25">
      <c r="A17" s="9" t="s">
        <v>32</v>
      </c>
      <c r="B17" s="9">
        <v>0.1</v>
      </c>
      <c r="C17" s="9">
        <v>0.1</v>
      </c>
      <c r="D17" s="9">
        <v>0.1</v>
      </c>
      <c r="E17" s="9">
        <v>0.08</v>
      </c>
      <c r="F17" s="9">
        <v>0.08</v>
      </c>
      <c r="G17" s="9">
        <v>7.0000000000000007E-2</v>
      </c>
      <c r="H17" s="9">
        <v>7.0000000000000007E-2</v>
      </c>
      <c r="I17" s="9">
        <v>7.0000000000000007E-2</v>
      </c>
      <c r="J17" s="9">
        <v>0.06</v>
      </c>
    </row>
    <row r="18" spans="1:10" x14ac:dyDescent="0.25">
      <c r="A18" s="9" t="s">
        <v>33</v>
      </c>
      <c r="B18" s="9">
        <v>13</v>
      </c>
      <c r="C18" s="9">
        <v>18</v>
      </c>
      <c r="D18" s="9">
        <v>19</v>
      </c>
      <c r="E18" s="9">
        <v>19</v>
      </c>
      <c r="F18" s="9">
        <v>21</v>
      </c>
      <c r="G18" s="9">
        <v>31</v>
      </c>
      <c r="H18" s="9">
        <v>19</v>
      </c>
      <c r="I18" s="9">
        <v>25</v>
      </c>
      <c r="J18" s="9">
        <v>31</v>
      </c>
    </row>
    <row r="19" spans="1:10" x14ac:dyDescent="0.25">
      <c r="A19" s="9" t="s">
        <v>34</v>
      </c>
      <c r="B19" s="9">
        <v>3</v>
      </c>
      <c r="C19" s="9">
        <v>3</v>
      </c>
      <c r="D19" s="9">
        <v>3</v>
      </c>
      <c r="E19" s="9">
        <v>3</v>
      </c>
      <c r="F19" s="9">
        <v>2</v>
      </c>
      <c r="G19" s="9">
        <v>2</v>
      </c>
      <c r="H19" s="9">
        <v>2</v>
      </c>
      <c r="I19" s="9">
        <v>2</v>
      </c>
      <c r="J19" s="9">
        <v>2</v>
      </c>
    </row>
    <row r="20" spans="1:10" x14ac:dyDescent="0.25">
      <c r="A20" s="9" t="s">
        <v>35</v>
      </c>
      <c r="B20" s="9">
        <v>43</v>
      </c>
      <c r="C20" s="9">
        <v>46</v>
      </c>
      <c r="D20" s="9">
        <v>44</v>
      </c>
      <c r="E20" s="9">
        <v>45</v>
      </c>
      <c r="F20" s="9">
        <v>77</v>
      </c>
      <c r="G20" s="9">
        <v>44</v>
      </c>
      <c r="H20" s="9">
        <v>104</v>
      </c>
      <c r="I20" s="9">
        <v>83</v>
      </c>
      <c r="J20" s="9">
        <v>63</v>
      </c>
    </row>
    <row r="22" spans="1:10" x14ac:dyDescent="0.25">
      <c r="A22" s="15" t="s">
        <v>54</v>
      </c>
      <c r="B22" s="16">
        <f>MAX(B3:J3)</f>
        <v>164935.04999999999</v>
      </c>
    </row>
    <row r="23" spans="1:10" x14ac:dyDescent="0.25">
      <c r="A23" s="15" t="s">
        <v>55</v>
      </c>
      <c r="B23" s="18">
        <f>ABS(B11/B8)</f>
        <v>9.806146472320707</v>
      </c>
      <c r="C23" s="17">
        <f t="shared" ref="C23:J23" si="1">ABS(C11/C8)</f>
        <v>12.872347450250624</v>
      </c>
      <c r="D23" s="17">
        <f t="shared" si="1"/>
        <v>15.645096056622853</v>
      </c>
      <c r="E23" s="17">
        <f t="shared" si="1"/>
        <v>12.094815574845656</v>
      </c>
      <c r="F23" s="17">
        <f t="shared" si="1"/>
        <v>15.280495759947815</v>
      </c>
      <c r="G23" s="17">
        <f t="shared" si="1"/>
        <v>20.909370079619436</v>
      </c>
      <c r="H23" s="17">
        <f t="shared" si="1"/>
        <v>14.026096683658091</v>
      </c>
      <c r="I23" s="17">
        <f t="shared" si="1"/>
        <v>18.623483651142262</v>
      </c>
      <c r="J23" s="17">
        <f t="shared" si="1"/>
        <v>24.131676288053487</v>
      </c>
    </row>
    <row r="24" spans="1:10" x14ac:dyDescent="0.25">
      <c r="A24" s="15" t="s">
        <v>56</v>
      </c>
      <c r="B24" s="18">
        <f>ABS(B12/B8)</f>
        <v>15.674512728159526</v>
      </c>
      <c r="C24" s="17">
        <f t="shared" ref="C24:J24" si="2">ABS(C12/C8)</f>
        <v>21.370741663415071</v>
      </c>
      <c r="D24" s="17">
        <f t="shared" si="2"/>
        <v>24.716921854687278</v>
      </c>
      <c r="E24" s="17">
        <f t="shared" si="2"/>
        <v>16.563634985687884</v>
      </c>
      <c r="F24" s="17">
        <f t="shared" si="2"/>
        <v>24.977127663966577</v>
      </c>
      <c r="G24" s="17">
        <f t="shared" si="2"/>
        <v>32.240455159629711</v>
      </c>
      <c r="H24" s="17">
        <f t="shared" si="2"/>
        <v>15.822889524485737</v>
      </c>
      <c r="I24" s="17">
        <f t="shared" si="2"/>
        <v>22.184517334099635</v>
      </c>
      <c r="J24" s="17">
        <f t="shared" si="2"/>
        <v>31.322953585191836</v>
      </c>
    </row>
    <row r="25" spans="1:10" x14ac:dyDescent="0.25">
      <c r="A25" s="1" t="s">
        <v>28</v>
      </c>
      <c r="B25" s="23" t="str">
        <f>B14</f>
        <v>29</v>
      </c>
      <c r="C25" s="21" t="str">
        <f t="shared" ref="C25:J25" si="3">C14</f>
        <v>29</v>
      </c>
      <c r="D25" s="21" t="str">
        <f t="shared" si="3"/>
        <v>29</v>
      </c>
      <c r="E25" s="21" t="str">
        <f t="shared" si="3"/>
        <v>71</v>
      </c>
      <c r="F25" s="21" t="str">
        <f t="shared" si="3"/>
        <v>29</v>
      </c>
      <c r="G25" s="21" t="str">
        <f t="shared" si="3"/>
        <v>29</v>
      </c>
      <c r="H25" s="21" t="str">
        <f t="shared" si="3"/>
        <v>134</v>
      </c>
      <c r="I25" s="21" t="str">
        <f t="shared" si="3"/>
        <v>29</v>
      </c>
      <c r="J25" s="21" t="str">
        <f t="shared" si="3"/>
        <v>29</v>
      </c>
    </row>
    <row r="26" spans="1:10" x14ac:dyDescent="0.25">
      <c r="A26" s="15"/>
      <c r="B26" s="21"/>
      <c r="C26" s="21"/>
      <c r="D26" s="21"/>
      <c r="E26" s="21"/>
      <c r="F26" s="21"/>
      <c r="G26" s="21"/>
      <c r="H26" s="21"/>
      <c r="I26" s="21"/>
      <c r="J26" s="21"/>
    </row>
    <row r="27" spans="1:10" x14ac:dyDescent="0.25">
      <c r="A27" s="15"/>
      <c r="B27" s="21"/>
      <c r="C27" s="21"/>
      <c r="D27" s="21"/>
      <c r="E27" s="21"/>
      <c r="F27" s="21"/>
      <c r="G27" s="21"/>
      <c r="H27" s="21"/>
      <c r="I27" s="21"/>
      <c r="J27" s="21"/>
    </row>
    <row r="29" spans="1:10" ht="23.25" x14ac:dyDescent="0.25">
      <c r="A29" s="14" t="s">
        <v>53</v>
      </c>
      <c r="B29" s="13" t="s">
        <v>15</v>
      </c>
      <c r="C29" s="13" t="s">
        <v>16</v>
      </c>
      <c r="D29" s="13" t="s">
        <v>17</v>
      </c>
      <c r="E29" s="13" t="s">
        <v>36</v>
      </c>
      <c r="F29" s="13" t="s">
        <v>37</v>
      </c>
      <c r="G29" s="13" t="s">
        <v>38</v>
      </c>
      <c r="H29" s="13" t="s">
        <v>40</v>
      </c>
      <c r="I29" s="13" t="s">
        <v>41</v>
      </c>
      <c r="J29" s="13" t="s">
        <v>42</v>
      </c>
    </row>
    <row r="30" spans="1:10" x14ac:dyDescent="0.25">
      <c r="A30" s="9" t="s">
        <v>18</v>
      </c>
      <c r="B30" s="11">
        <v>161836.04999999999</v>
      </c>
      <c r="C30" s="11">
        <v>194251.95</v>
      </c>
      <c r="D30" s="11">
        <v>185306.55</v>
      </c>
      <c r="E30" s="11">
        <v>168066.05</v>
      </c>
      <c r="F30" s="29">
        <v>200481.85</v>
      </c>
      <c r="G30" s="11">
        <v>191536.4</v>
      </c>
      <c r="H30" s="11">
        <v>161572.20000000001</v>
      </c>
      <c r="I30" s="33">
        <v>193988</v>
      </c>
      <c r="J30" s="22">
        <v>185042.55</v>
      </c>
    </row>
    <row r="31" spans="1:10" x14ac:dyDescent="0.25">
      <c r="A31" s="9" t="s">
        <v>19</v>
      </c>
      <c r="B31" s="9">
        <v>380</v>
      </c>
      <c r="C31" s="9">
        <v>380</v>
      </c>
      <c r="D31" s="9">
        <v>380</v>
      </c>
      <c r="E31" s="9">
        <v>380</v>
      </c>
      <c r="F31" s="9">
        <v>380</v>
      </c>
      <c r="G31" s="9">
        <v>380</v>
      </c>
      <c r="H31" s="9">
        <v>380</v>
      </c>
      <c r="I31" s="9">
        <v>380</v>
      </c>
      <c r="J31" s="9">
        <v>380</v>
      </c>
    </row>
    <row r="32" spans="1:10" x14ac:dyDescent="0.25">
      <c r="A32" s="9" t="s">
        <v>20</v>
      </c>
      <c r="B32" s="11">
        <v>425.88</v>
      </c>
      <c r="C32" s="11">
        <v>511.19</v>
      </c>
      <c r="D32" s="11">
        <v>487.65</v>
      </c>
      <c r="E32" s="11">
        <v>442.28</v>
      </c>
      <c r="F32" s="11">
        <v>527.58000000000004</v>
      </c>
      <c r="G32" s="11">
        <v>504.04</v>
      </c>
      <c r="H32" s="11">
        <v>425.19</v>
      </c>
      <c r="I32" s="11">
        <v>510.49</v>
      </c>
      <c r="J32" s="11">
        <v>486.95</v>
      </c>
    </row>
    <row r="33" spans="1:10" x14ac:dyDescent="0.25">
      <c r="A33" s="9" t="s">
        <v>21</v>
      </c>
      <c r="B33" s="9">
        <v>71.58</v>
      </c>
      <c r="C33" s="9">
        <v>77.89</v>
      </c>
      <c r="D33" s="9">
        <v>80.53</v>
      </c>
      <c r="E33" s="11">
        <v>77.37</v>
      </c>
      <c r="F33" s="9">
        <v>84.74</v>
      </c>
      <c r="G33" s="11">
        <v>88.16</v>
      </c>
      <c r="H33" s="9">
        <v>80.790000000000006</v>
      </c>
      <c r="I33" s="9">
        <v>88.16</v>
      </c>
      <c r="J33" s="9">
        <v>92.63</v>
      </c>
    </row>
    <row r="34" spans="1:10" x14ac:dyDescent="0.25">
      <c r="A34" s="9" t="s">
        <v>22</v>
      </c>
      <c r="B34" s="9">
        <v>28.42</v>
      </c>
      <c r="C34" s="9">
        <v>22.11</v>
      </c>
      <c r="D34" s="9">
        <v>19.47</v>
      </c>
      <c r="E34" s="11">
        <v>22.63</v>
      </c>
      <c r="F34" s="9">
        <v>15.26</v>
      </c>
      <c r="G34" s="11">
        <v>11.84</v>
      </c>
      <c r="H34" s="9">
        <v>19.21</v>
      </c>
      <c r="I34" s="9">
        <v>11.84</v>
      </c>
      <c r="J34" s="9">
        <v>7.37</v>
      </c>
    </row>
    <row r="35" spans="1:10" x14ac:dyDescent="0.25">
      <c r="A35" s="9" t="s">
        <v>23</v>
      </c>
      <c r="B35" s="11">
        <v>3212.54</v>
      </c>
      <c r="C35" s="11">
        <v>2583.52</v>
      </c>
      <c r="D35" s="11">
        <v>2202.61</v>
      </c>
      <c r="E35" s="11">
        <v>2589.5700000000002</v>
      </c>
      <c r="F35" s="11">
        <v>1871.28</v>
      </c>
      <c r="G35" s="11">
        <v>1449.67</v>
      </c>
      <c r="H35" s="11">
        <v>2271.83</v>
      </c>
      <c r="I35" s="11">
        <v>1539.69</v>
      </c>
      <c r="J35" s="11">
        <v>1089.47</v>
      </c>
    </row>
    <row r="36" spans="1:10" x14ac:dyDescent="0.25">
      <c r="A36" s="9" t="s">
        <v>24</v>
      </c>
      <c r="B36" s="11">
        <v>-6592.35</v>
      </c>
      <c r="C36" s="11">
        <v>-6791.32</v>
      </c>
      <c r="D36" s="11">
        <v>-6603.93</v>
      </c>
      <c r="E36" s="11">
        <v>-6898.44</v>
      </c>
      <c r="F36" s="11">
        <v>-6932.26</v>
      </c>
      <c r="G36" s="11">
        <v>-6535.6</v>
      </c>
      <c r="H36" s="11">
        <v>-7340.82</v>
      </c>
      <c r="I36" s="11">
        <v>-7151.3</v>
      </c>
      <c r="J36" s="11">
        <v>-7087.54</v>
      </c>
    </row>
    <row r="37" spans="1:10" x14ac:dyDescent="0.25">
      <c r="A37" s="9" t="s">
        <v>25</v>
      </c>
      <c r="B37" s="11">
        <v>9356.35</v>
      </c>
      <c r="C37" s="11">
        <v>8320.2999999999993</v>
      </c>
      <c r="D37" s="11">
        <v>6862.7</v>
      </c>
      <c r="E37" s="11">
        <v>10495.05</v>
      </c>
      <c r="F37" s="11">
        <v>7428.8</v>
      </c>
      <c r="G37" s="11">
        <v>5492.1</v>
      </c>
      <c r="H37" s="12">
        <v>11097</v>
      </c>
      <c r="I37" s="11">
        <v>8272.0499999999993</v>
      </c>
      <c r="J37" s="11">
        <v>6499.15</v>
      </c>
    </row>
    <row r="38" spans="1:10" x14ac:dyDescent="0.25">
      <c r="A38" s="9" t="s">
        <v>26</v>
      </c>
      <c r="B38" s="11">
        <v>-44289.9</v>
      </c>
      <c r="C38" s="11">
        <v>-36065.800000000003</v>
      </c>
      <c r="D38" s="12">
        <v>-36986</v>
      </c>
      <c r="E38" s="11">
        <v>-45647.55</v>
      </c>
      <c r="F38" s="11">
        <v>-37245.75</v>
      </c>
      <c r="G38" s="11">
        <v>-31276.9</v>
      </c>
      <c r="H38" s="11">
        <v>-45998.3</v>
      </c>
      <c r="I38" s="11">
        <v>-37596.550000000003</v>
      </c>
      <c r="J38" s="11">
        <v>-31627.7</v>
      </c>
    </row>
    <row r="39" spans="1:10" x14ac:dyDescent="0.25">
      <c r="A39" s="9" t="s">
        <v>27</v>
      </c>
      <c r="B39" s="11">
        <v>-90600.9</v>
      </c>
      <c r="C39" s="11">
        <v>-69925.350000000006</v>
      </c>
      <c r="D39" s="11">
        <v>-52249.05</v>
      </c>
      <c r="E39" s="11">
        <v>-77337.899999999994</v>
      </c>
      <c r="F39" s="11">
        <v>-55740.35</v>
      </c>
      <c r="G39" s="11">
        <v>-37195.300000000003</v>
      </c>
      <c r="H39" s="11">
        <v>-69239.399999999994</v>
      </c>
      <c r="I39" s="11">
        <v>-48682.75</v>
      </c>
      <c r="J39" s="11">
        <v>-31627.7</v>
      </c>
    </row>
    <row r="40" spans="1:10" x14ac:dyDescent="0.25">
      <c r="A40" s="9" t="s">
        <v>28</v>
      </c>
      <c r="B40" s="9" t="s">
        <v>44</v>
      </c>
      <c r="C40" s="9" t="s">
        <v>45</v>
      </c>
      <c r="D40" s="9" t="s">
        <v>45</v>
      </c>
      <c r="E40" s="9" t="s">
        <v>44</v>
      </c>
      <c r="F40" s="27" t="s">
        <v>44</v>
      </c>
      <c r="G40" s="9" t="s">
        <v>44</v>
      </c>
      <c r="H40" s="9" t="s">
        <v>46</v>
      </c>
      <c r="I40" s="9" t="s">
        <v>46</v>
      </c>
      <c r="J40" s="9" t="s">
        <v>47</v>
      </c>
    </row>
    <row r="41" spans="1:10" x14ac:dyDescent="0.25">
      <c r="A41" s="9"/>
      <c r="B41" s="9" t="str">
        <f t="shared" ref="B41:J41" si="4">TRIM(LEFT(B40,FIND("[",B40)-1))</f>
        <v>156</v>
      </c>
      <c r="C41" s="9" t="str">
        <f t="shared" si="4"/>
        <v>170</v>
      </c>
      <c r="D41" s="9" t="str">
        <f t="shared" si="4"/>
        <v>170</v>
      </c>
      <c r="E41" s="9" t="str">
        <f t="shared" si="4"/>
        <v>156</v>
      </c>
      <c r="F41" s="9" t="str">
        <f t="shared" si="4"/>
        <v>156</v>
      </c>
      <c r="G41" s="9" t="str">
        <f t="shared" si="4"/>
        <v>156</v>
      </c>
      <c r="H41" s="9" t="str">
        <f t="shared" si="4"/>
        <v>86</v>
      </c>
      <c r="I41" s="9" t="str">
        <f t="shared" si="4"/>
        <v>86</v>
      </c>
      <c r="J41" s="9" t="str">
        <f t="shared" si="4"/>
        <v>2</v>
      </c>
    </row>
    <row r="42" spans="1:10" x14ac:dyDescent="0.25">
      <c r="A42" s="9" t="s">
        <v>30</v>
      </c>
      <c r="B42" s="9">
        <v>0.25</v>
      </c>
      <c r="C42" s="9">
        <v>0.38</v>
      </c>
      <c r="D42" s="9">
        <v>0.49</v>
      </c>
      <c r="E42" s="9">
        <v>0.3</v>
      </c>
      <c r="F42" s="9">
        <v>0.49</v>
      </c>
      <c r="G42" s="9">
        <v>0.71</v>
      </c>
      <c r="H42" s="9">
        <v>0.32</v>
      </c>
      <c r="I42" s="9">
        <v>0.55000000000000004</v>
      </c>
      <c r="J42" s="9">
        <v>0.8</v>
      </c>
    </row>
    <row r="43" spans="1:10" x14ac:dyDescent="0.25">
      <c r="A43" s="9" t="s">
        <v>31</v>
      </c>
      <c r="B43" s="9">
        <v>0.49</v>
      </c>
      <c r="C43" s="9">
        <v>0.38</v>
      </c>
      <c r="D43" s="9">
        <v>0.33</v>
      </c>
      <c r="E43" s="9">
        <v>0.38</v>
      </c>
      <c r="F43" s="9">
        <v>0.27</v>
      </c>
      <c r="G43" s="9">
        <v>0.22</v>
      </c>
      <c r="H43" s="9">
        <v>0.31</v>
      </c>
      <c r="I43" s="9">
        <v>0.22</v>
      </c>
      <c r="J43" s="9">
        <v>0.15</v>
      </c>
    </row>
    <row r="44" spans="1:10" x14ac:dyDescent="0.25">
      <c r="A44" s="9" t="s">
        <v>32</v>
      </c>
      <c r="B44" s="9">
        <v>0.06</v>
      </c>
      <c r="C44" s="9">
        <v>0.08</v>
      </c>
      <c r="D44" s="9">
        <v>7.0000000000000007E-2</v>
      </c>
      <c r="E44" s="9">
        <v>0.06</v>
      </c>
      <c r="F44" s="9">
        <v>0.08</v>
      </c>
      <c r="G44" s="9">
        <v>0.08</v>
      </c>
      <c r="H44" s="9">
        <v>0.06</v>
      </c>
      <c r="I44" s="9">
        <v>7.0000000000000007E-2</v>
      </c>
      <c r="J44" s="9">
        <v>7.0000000000000007E-2</v>
      </c>
    </row>
    <row r="45" spans="1:10" x14ac:dyDescent="0.25">
      <c r="A45" s="9" t="s">
        <v>33</v>
      </c>
      <c r="B45" s="9">
        <v>14</v>
      </c>
      <c r="C45" s="9">
        <v>25</v>
      </c>
      <c r="D45" s="9">
        <v>25</v>
      </c>
      <c r="E45" s="9">
        <v>19</v>
      </c>
      <c r="F45" s="9">
        <v>27</v>
      </c>
      <c r="G45" s="9">
        <v>27</v>
      </c>
      <c r="H45" s="9">
        <v>19</v>
      </c>
      <c r="I45" s="9">
        <v>30</v>
      </c>
      <c r="J45" s="9">
        <v>31</v>
      </c>
    </row>
    <row r="46" spans="1:10" x14ac:dyDescent="0.25">
      <c r="A46" s="9" t="s">
        <v>34</v>
      </c>
      <c r="B46" s="9">
        <v>4</v>
      </c>
      <c r="C46" s="9">
        <v>3</v>
      </c>
      <c r="D46" s="9">
        <v>3</v>
      </c>
      <c r="E46" s="9">
        <v>3</v>
      </c>
      <c r="F46" s="9">
        <v>3</v>
      </c>
      <c r="G46" s="9">
        <v>2</v>
      </c>
      <c r="H46" s="9">
        <v>3</v>
      </c>
      <c r="I46" s="9">
        <v>3</v>
      </c>
      <c r="J46" s="9">
        <v>2</v>
      </c>
    </row>
    <row r="47" spans="1:10" x14ac:dyDescent="0.25">
      <c r="A47" s="9" t="s">
        <v>35</v>
      </c>
      <c r="B47" s="9">
        <v>128</v>
      </c>
      <c r="C47" s="9">
        <v>85</v>
      </c>
      <c r="D47" s="9">
        <v>71</v>
      </c>
      <c r="E47" s="9">
        <v>119</v>
      </c>
      <c r="F47" s="9">
        <v>74</v>
      </c>
      <c r="G47" s="9">
        <v>57</v>
      </c>
      <c r="H47" s="9">
        <v>119</v>
      </c>
      <c r="I47" s="30">
        <v>79</v>
      </c>
      <c r="J47" s="9">
        <v>55</v>
      </c>
    </row>
    <row r="49" spans="1:10" x14ac:dyDescent="0.25">
      <c r="A49" s="15" t="s">
        <v>54</v>
      </c>
      <c r="B49" s="16">
        <f>MAX(B30:J30)</f>
        <v>200481.85</v>
      </c>
      <c r="F49" s="25">
        <f>F30</f>
        <v>200481.85</v>
      </c>
    </row>
    <row r="50" spans="1:10" x14ac:dyDescent="0.25">
      <c r="A50" s="15" t="s">
        <v>55</v>
      </c>
      <c r="B50" s="19">
        <f>ABS(B38/B35)</f>
        <v>13.78656763806832</v>
      </c>
      <c r="C50" s="17">
        <f t="shared" ref="C50:J50" si="5">ABS(C38/C35)</f>
        <v>13.959946120022297</v>
      </c>
      <c r="D50" s="17">
        <f t="shared" si="5"/>
        <v>16.791896885967102</v>
      </c>
      <c r="E50" s="17">
        <f t="shared" si="5"/>
        <v>17.627463246793869</v>
      </c>
      <c r="F50" s="17">
        <f t="shared" si="5"/>
        <v>19.903889316403745</v>
      </c>
      <c r="G50" s="17">
        <f t="shared" si="5"/>
        <v>21.57518607683128</v>
      </c>
      <c r="H50" s="17">
        <f t="shared" si="5"/>
        <v>20.247245612567845</v>
      </c>
      <c r="I50" s="17">
        <f t="shared" si="5"/>
        <v>24.418259519773461</v>
      </c>
      <c r="J50" s="17">
        <f t="shared" si="5"/>
        <v>29.030354208927278</v>
      </c>
    </row>
    <row r="51" spans="1:10" x14ac:dyDescent="0.25">
      <c r="A51" s="15" t="s">
        <v>56</v>
      </c>
      <c r="B51" s="17">
        <f>ABS(B39/B35)</f>
        <v>28.202263629402278</v>
      </c>
      <c r="C51" s="17">
        <f t="shared" ref="C51:J51" si="6">ABS(C39/C35)</f>
        <v>27.065921688239303</v>
      </c>
      <c r="D51" s="19">
        <f t="shared" si="6"/>
        <v>23.721425944674728</v>
      </c>
      <c r="E51" s="17">
        <f t="shared" si="6"/>
        <v>29.865151357175126</v>
      </c>
      <c r="F51" s="17">
        <f t="shared" si="6"/>
        <v>29.787284639391217</v>
      </c>
      <c r="G51" s="17">
        <f t="shared" si="6"/>
        <v>25.657770389123044</v>
      </c>
      <c r="H51" s="17">
        <f t="shared" si="6"/>
        <v>30.477368465070008</v>
      </c>
      <c r="I51" s="17">
        <f t="shared" si="6"/>
        <v>31.618540095733557</v>
      </c>
      <c r="J51" s="17">
        <f t="shared" si="6"/>
        <v>29.030354208927278</v>
      </c>
    </row>
    <row r="52" spans="1:10" x14ac:dyDescent="0.25">
      <c r="A52" s="1" t="s">
        <v>28</v>
      </c>
      <c r="B52" s="21" t="str">
        <f>B41</f>
        <v>156</v>
      </c>
      <c r="C52" s="21" t="str">
        <f t="shared" ref="C52:J52" si="7">C41</f>
        <v>170</v>
      </c>
      <c r="D52" s="21" t="str">
        <f t="shared" si="7"/>
        <v>170</v>
      </c>
      <c r="E52" s="21" t="str">
        <f t="shared" si="7"/>
        <v>156</v>
      </c>
      <c r="F52" s="26" t="str">
        <f t="shared" si="7"/>
        <v>156</v>
      </c>
      <c r="G52" s="21" t="str">
        <f t="shared" si="7"/>
        <v>156</v>
      </c>
      <c r="H52" s="24" t="str">
        <f t="shared" si="7"/>
        <v>86</v>
      </c>
      <c r="I52" s="24" t="str">
        <f t="shared" si="7"/>
        <v>86</v>
      </c>
      <c r="J52" s="35" t="str">
        <f t="shared" si="7"/>
        <v>2</v>
      </c>
    </row>
    <row r="53" spans="1:10" x14ac:dyDescent="0.25">
      <c r="F53" s="20"/>
    </row>
    <row r="56" spans="1:10" ht="23.25" x14ac:dyDescent="0.25">
      <c r="A56" s="14" t="s">
        <v>48</v>
      </c>
      <c r="B56" s="13" t="s">
        <v>15</v>
      </c>
      <c r="C56" s="13" t="s">
        <v>16</v>
      </c>
      <c r="D56" s="13" t="s">
        <v>17</v>
      </c>
      <c r="E56" s="13" t="s">
        <v>36</v>
      </c>
      <c r="F56" s="13" t="s">
        <v>37</v>
      </c>
      <c r="G56" s="13" t="s">
        <v>38</v>
      </c>
      <c r="H56" s="13" t="s">
        <v>40</v>
      </c>
      <c r="I56" s="13" t="s">
        <v>41</v>
      </c>
      <c r="J56" s="13" t="s">
        <v>42</v>
      </c>
    </row>
    <row r="57" spans="1:10" x14ac:dyDescent="0.25">
      <c r="A57" s="9" t="s">
        <v>18</v>
      </c>
      <c r="B57" s="36">
        <v>228196.8</v>
      </c>
      <c r="C57" s="11">
        <v>203043.7</v>
      </c>
      <c r="D57" s="38">
        <v>174088</v>
      </c>
      <c r="E57" s="11">
        <v>205640.25</v>
      </c>
      <c r="F57" s="11">
        <v>180487.35</v>
      </c>
      <c r="G57" s="11">
        <v>151531.54999999999</v>
      </c>
      <c r="H57" s="11">
        <v>177451.95</v>
      </c>
      <c r="I57" s="11">
        <v>152298.95000000001</v>
      </c>
      <c r="J57" s="11">
        <v>123343.2</v>
      </c>
    </row>
    <row r="58" spans="1:10" x14ac:dyDescent="0.25">
      <c r="A58" s="9" t="s">
        <v>19</v>
      </c>
      <c r="B58" s="9">
        <v>380</v>
      </c>
      <c r="C58" s="9">
        <v>380</v>
      </c>
      <c r="D58" s="1">
        <v>380</v>
      </c>
      <c r="E58" s="9">
        <v>380</v>
      </c>
      <c r="F58" s="9">
        <v>380</v>
      </c>
      <c r="G58" s="9">
        <v>380</v>
      </c>
      <c r="H58" s="9">
        <v>380</v>
      </c>
      <c r="I58" s="9">
        <v>380</v>
      </c>
      <c r="J58" s="9">
        <v>380</v>
      </c>
    </row>
    <row r="59" spans="1:10" x14ac:dyDescent="0.25">
      <c r="A59" s="9" t="s">
        <v>20</v>
      </c>
      <c r="B59" s="11">
        <v>600.52</v>
      </c>
      <c r="C59" s="11">
        <v>534.33000000000004</v>
      </c>
      <c r="D59" s="38">
        <v>458.13</v>
      </c>
      <c r="E59" s="11">
        <v>541.16</v>
      </c>
      <c r="F59" s="11">
        <v>474.97</v>
      </c>
      <c r="G59" s="11">
        <v>398.77</v>
      </c>
      <c r="H59" s="11">
        <v>466.98</v>
      </c>
      <c r="I59" s="11">
        <v>400.79</v>
      </c>
      <c r="J59" s="11">
        <v>324.58999999999997</v>
      </c>
    </row>
    <row r="60" spans="1:10" x14ac:dyDescent="0.25">
      <c r="A60" s="9" t="s">
        <v>21</v>
      </c>
      <c r="B60" s="9">
        <v>75.260000000000005</v>
      </c>
      <c r="C60" s="9">
        <v>77.63</v>
      </c>
      <c r="D60" s="1">
        <v>78.95</v>
      </c>
      <c r="E60" s="9">
        <v>80.53</v>
      </c>
      <c r="F60" s="9">
        <v>86.05</v>
      </c>
      <c r="G60" s="9">
        <v>87.89</v>
      </c>
      <c r="H60" s="9">
        <v>84.21</v>
      </c>
      <c r="I60" s="9">
        <v>89.74</v>
      </c>
      <c r="J60" s="9">
        <v>92.63</v>
      </c>
    </row>
    <row r="61" spans="1:10" x14ac:dyDescent="0.25">
      <c r="A61" s="9" t="s">
        <v>22</v>
      </c>
      <c r="B61" s="9">
        <v>24.74</v>
      </c>
      <c r="C61" s="9">
        <v>22.37</v>
      </c>
      <c r="D61" s="1">
        <v>21.05</v>
      </c>
      <c r="E61" s="9">
        <v>19.47</v>
      </c>
      <c r="F61" s="9">
        <v>13.95</v>
      </c>
      <c r="G61" s="9">
        <v>12.11</v>
      </c>
      <c r="H61" s="9">
        <v>15.79</v>
      </c>
      <c r="I61" s="9">
        <v>10.26</v>
      </c>
      <c r="J61" s="9">
        <v>7.37</v>
      </c>
    </row>
    <row r="62" spans="1:10" x14ac:dyDescent="0.25">
      <c r="A62" s="9" t="s">
        <v>23</v>
      </c>
      <c r="B62" s="11">
        <v>2679.25</v>
      </c>
      <c r="C62" s="11">
        <v>2209.66</v>
      </c>
      <c r="D62" s="38">
        <v>1911.23</v>
      </c>
      <c r="E62" s="11">
        <v>2136.16</v>
      </c>
      <c r="F62" s="11">
        <v>1547.32</v>
      </c>
      <c r="G62" s="11">
        <v>1233.1400000000001</v>
      </c>
      <c r="H62" s="11">
        <v>1817.41</v>
      </c>
      <c r="I62" s="11">
        <v>1233.24</v>
      </c>
      <c r="J62" s="11">
        <v>898.56</v>
      </c>
    </row>
    <row r="63" spans="1:10" x14ac:dyDescent="0.25">
      <c r="A63" s="9" t="s">
        <v>24</v>
      </c>
      <c r="B63" s="11">
        <v>-5724.12</v>
      </c>
      <c r="C63" s="11">
        <v>-5280.08</v>
      </c>
      <c r="D63" s="38">
        <v>-4990.99</v>
      </c>
      <c r="E63" s="11">
        <v>-6054.4</v>
      </c>
      <c r="F63" s="11">
        <v>-6141.22</v>
      </c>
      <c r="G63" s="11">
        <v>-5659.51</v>
      </c>
      <c r="H63" s="11">
        <v>-6735.32</v>
      </c>
      <c r="I63" s="11">
        <v>-6877.85</v>
      </c>
      <c r="J63" s="11">
        <v>-6891.04</v>
      </c>
    </row>
    <row r="64" spans="1:10" x14ac:dyDescent="0.25">
      <c r="A64" s="9" t="s">
        <v>25</v>
      </c>
      <c r="B64" s="11">
        <v>8947.7000000000007</v>
      </c>
      <c r="C64" s="12">
        <v>7641.4</v>
      </c>
      <c r="D64" s="39">
        <v>6627.9</v>
      </c>
      <c r="E64" s="12">
        <v>7445.15</v>
      </c>
      <c r="F64" s="12">
        <v>6138.85</v>
      </c>
      <c r="G64" s="12">
        <v>5125.3500000000004</v>
      </c>
      <c r="H64" s="12">
        <v>6171</v>
      </c>
      <c r="I64" s="12">
        <v>3909.1</v>
      </c>
      <c r="J64" s="12">
        <v>3040.3</v>
      </c>
    </row>
    <row r="65" spans="1:10" x14ac:dyDescent="0.25">
      <c r="A65" s="9" t="s">
        <v>26</v>
      </c>
      <c r="B65" s="11">
        <v>-45904.95</v>
      </c>
      <c r="C65" s="11">
        <v>-40323.550000000003</v>
      </c>
      <c r="D65" s="38">
        <v>-37184.65</v>
      </c>
      <c r="E65" s="11">
        <v>-46863.9</v>
      </c>
      <c r="F65" s="11">
        <v>-41218.5</v>
      </c>
      <c r="G65" s="11">
        <v>-38143.599999999999</v>
      </c>
      <c r="H65" s="11">
        <v>-47072.95</v>
      </c>
      <c r="I65" s="11">
        <v>-41427.599999999999</v>
      </c>
      <c r="J65" s="11">
        <v>-38352.65</v>
      </c>
    </row>
    <row r="66" spans="1:10" x14ac:dyDescent="0.25">
      <c r="A66" s="9" t="s">
        <v>27</v>
      </c>
      <c r="B66" s="11">
        <v>-50560.6</v>
      </c>
      <c r="C66" s="11">
        <v>-43237.3</v>
      </c>
      <c r="D66" s="38">
        <v>-37355</v>
      </c>
      <c r="E66" s="11">
        <v>-51753.9</v>
      </c>
      <c r="F66" s="11">
        <v>-44284.65</v>
      </c>
      <c r="G66" s="11">
        <v>-38143.599999999999</v>
      </c>
      <c r="H66" s="11">
        <v>-52284.35</v>
      </c>
      <c r="I66" s="11">
        <v>-43137.5</v>
      </c>
      <c r="J66" s="11">
        <v>-38352.65</v>
      </c>
    </row>
    <row r="67" spans="1:10" x14ac:dyDescent="0.25">
      <c r="A67" s="9" t="s">
        <v>28</v>
      </c>
      <c r="B67" s="27" t="s">
        <v>46</v>
      </c>
      <c r="C67" s="9" t="s">
        <v>46</v>
      </c>
      <c r="D67" s="1" t="s">
        <v>49</v>
      </c>
      <c r="E67" s="9" t="s">
        <v>50</v>
      </c>
      <c r="F67" s="9" t="s">
        <v>46</v>
      </c>
      <c r="G67" s="9" t="s">
        <v>47</v>
      </c>
      <c r="H67" s="9" t="s">
        <v>51</v>
      </c>
      <c r="I67" s="9" t="s">
        <v>46</v>
      </c>
      <c r="J67" s="9" t="s">
        <v>47</v>
      </c>
    </row>
    <row r="68" spans="1:10" x14ac:dyDescent="0.25">
      <c r="A68" s="9"/>
      <c r="B68" s="27" t="str">
        <f t="shared" ref="B68:J68" si="8">TRIM(LEFT(B67,FIND("[",B67)-1))</f>
        <v>86</v>
      </c>
      <c r="C68" s="9" t="str">
        <f t="shared" si="8"/>
        <v>86</v>
      </c>
      <c r="D68" s="1" t="str">
        <f t="shared" si="8"/>
        <v>23</v>
      </c>
      <c r="E68" s="9" t="str">
        <f t="shared" si="8"/>
        <v>205</v>
      </c>
      <c r="F68" s="9" t="str">
        <f t="shared" si="8"/>
        <v>86</v>
      </c>
      <c r="G68" s="9" t="str">
        <f t="shared" si="8"/>
        <v>2</v>
      </c>
      <c r="H68" s="9" t="str">
        <f t="shared" si="8"/>
        <v>233</v>
      </c>
      <c r="I68" s="9" t="str">
        <f t="shared" si="8"/>
        <v>86</v>
      </c>
      <c r="J68" s="9" t="str">
        <f t="shared" si="8"/>
        <v>2</v>
      </c>
    </row>
    <row r="69" spans="1:10" x14ac:dyDescent="0.25">
      <c r="A69" s="9" t="s">
        <v>30</v>
      </c>
      <c r="B69" s="37">
        <v>0.62</v>
      </c>
      <c r="C69" s="9">
        <v>0.65</v>
      </c>
      <c r="D69" s="1">
        <v>0.64</v>
      </c>
      <c r="E69" s="9">
        <v>0.55000000000000004</v>
      </c>
      <c r="F69" s="9">
        <v>0.56000000000000005</v>
      </c>
      <c r="G69" s="9">
        <v>0.55000000000000004</v>
      </c>
      <c r="H69" s="9">
        <v>0.47</v>
      </c>
      <c r="I69" s="9">
        <v>0.49</v>
      </c>
      <c r="J69" s="9">
        <v>0.44</v>
      </c>
    </row>
    <row r="70" spans="1:10" x14ac:dyDescent="0.25">
      <c r="A70" s="9" t="s">
        <v>31</v>
      </c>
      <c r="B70" s="37">
        <v>0.47</v>
      </c>
      <c r="C70" s="9">
        <v>0.42</v>
      </c>
      <c r="D70" s="1">
        <v>0.38</v>
      </c>
      <c r="E70" s="9">
        <v>0.35</v>
      </c>
      <c r="F70" s="9">
        <v>0.25</v>
      </c>
      <c r="G70" s="9">
        <v>0.22</v>
      </c>
      <c r="H70" s="9">
        <v>0.27</v>
      </c>
      <c r="I70" s="9">
        <v>0.18</v>
      </c>
      <c r="J70" s="9">
        <v>0.13</v>
      </c>
    </row>
    <row r="71" spans="1:10" x14ac:dyDescent="0.25">
      <c r="A71" s="9" t="s">
        <v>32</v>
      </c>
      <c r="B71" s="37">
        <v>0.1</v>
      </c>
      <c r="C71" s="9">
        <v>0.1</v>
      </c>
      <c r="D71" s="1">
        <v>0.09</v>
      </c>
      <c r="E71" s="9">
        <v>0.09</v>
      </c>
      <c r="F71" s="9">
        <v>0.08</v>
      </c>
      <c r="G71" s="9">
        <v>7.0000000000000007E-2</v>
      </c>
      <c r="H71" s="9">
        <v>7.0000000000000007E-2</v>
      </c>
      <c r="I71" s="9">
        <v>0.06</v>
      </c>
      <c r="J71" s="9">
        <v>0.05</v>
      </c>
    </row>
    <row r="72" spans="1:10" x14ac:dyDescent="0.25">
      <c r="A72" s="9" t="s">
        <v>33</v>
      </c>
      <c r="B72" s="9">
        <v>16</v>
      </c>
      <c r="C72" s="9">
        <v>17</v>
      </c>
      <c r="D72" s="1">
        <v>17</v>
      </c>
      <c r="E72" s="9">
        <v>16</v>
      </c>
      <c r="F72" s="9">
        <v>21</v>
      </c>
      <c r="G72" s="9">
        <v>29</v>
      </c>
      <c r="H72" s="9">
        <v>19</v>
      </c>
      <c r="I72" s="9">
        <v>27</v>
      </c>
      <c r="J72" s="9">
        <v>48</v>
      </c>
    </row>
    <row r="73" spans="1:10" x14ac:dyDescent="0.25">
      <c r="A73" s="9" t="s">
        <v>34</v>
      </c>
      <c r="B73" s="9">
        <v>3</v>
      </c>
      <c r="C73" s="9">
        <v>3</v>
      </c>
      <c r="D73" s="1">
        <v>3</v>
      </c>
      <c r="E73" s="9">
        <v>2</v>
      </c>
      <c r="F73" s="9">
        <v>2</v>
      </c>
      <c r="G73" s="9">
        <v>2</v>
      </c>
      <c r="H73" s="9">
        <v>2</v>
      </c>
      <c r="I73" s="9">
        <v>2</v>
      </c>
      <c r="J73" s="9">
        <v>2</v>
      </c>
    </row>
    <row r="74" spans="1:10" x14ac:dyDescent="0.25">
      <c r="A74" s="9" t="s">
        <v>35</v>
      </c>
      <c r="B74" s="9">
        <v>58</v>
      </c>
      <c r="C74" s="9">
        <v>57</v>
      </c>
      <c r="D74" s="1">
        <v>61</v>
      </c>
      <c r="E74" s="9">
        <v>64</v>
      </c>
      <c r="F74" s="9">
        <v>52</v>
      </c>
      <c r="G74" s="9">
        <v>57</v>
      </c>
      <c r="H74" s="9">
        <v>73</v>
      </c>
      <c r="I74" s="9">
        <v>58</v>
      </c>
      <c r="J74" s="9">
        <v>59</v>
      </c>
    </row>
    <row r="76" spans="1:10" x14ac:dyDescent="0.25">
      <c r="A76" s="15" t="s">
        <v>54</v>
      </c>
      <c r="B76" s="16">
        <f>MAX(B57:J57)</f>
        <v>228196.8</v>
      </c>
    </row>
    <row r="77" spans="1:10" x14ac:dyDescent="0.25">
      <c r="A77" s="15" t="s">
        <v>55</v>
      </c>
      <c r="B77" s="19">
        <f>ABS(B65/B62)</f>
        <v>17.133507511430437</v>
      </c>
      <c r="C77" s="17">
        <f t="shared" ref="C77:J77" si="9">ABS(C65/C62)</f>
        <v>18.248757727433183</v>
      </c>
      <c r="D77" s="17">
        <f t="shared" si="9"/>
        <v>19.455873965980025</v>
      </c>
      <c r="E77" s="17">
        <f t="shared" si="9"/>
        <v>21.938384765186129</v>
      </c>
      <c r="F77" s="17">
        <f t="shared" si="9"/>
        <v>26.638639712535223</v>
      </c>
      <c r="G77" s="17">
        <f t="shared" si="9"/>
        <v>30.932092057673902</v>
      </c>
      <c r="H77" s="17">
        <f t="shared" si="9"/>
        <v>25.9011175243891</v>
      </c>
      <c r="I77" s="17">
        <f t="shared" si="9"/>
        <v>33.592488080179038</v>
      </c>
      <c r="J77" s="17">
        <f t="shared" si="9"/>
        <v>42.682347311253565</v>
      </c>
    </row>
    <row r="78" spans="1:10" x14ac:dyDescent="0.25">
      <c r="A78" s="15" t="s">
        <v>56</v>
      </c>
      <c r="B78" s="19">
        <f>ABS(B66/B62)</f>
        <v>18.871176635252404</v>
      </c>
      <c r="C78" s="17">
        <f t="shared" ref="C78:J78" si="10">ABS(C66/C62)</f>
        <v>19.567399509426792</v>
      </c>
      <c r="D78" s="17">
        <f t="shared" si="10"/>
        <v>19.545005049104503</v>
      </c>
      <c r="E78" s="17">
        <f t="shared" si="10"/>
        <v>24.227539135645273</v>
      </c>
      <c r="F78" s="17">
        <f t="shared" si="10"/>
        <v>28.620227231600445</v>
      </c>
      <c r="G78" s="17">
        <f t="shared" si="10"/>
        <v>30.932092057673902</v>
      </c>
      <c r="H78" s="17">
        <f t="shared" si="10"/>
        <v>28.768604772726022</v>
      </c>
      <c r="I78" s="17">
        <f t="shared" si="10"/>
        <v>34.978998410690537</v>
      </c>
      <c r="J78" s="17">
        <f t="shared" si="10"/>
        <v>42.682347311253565</v>
      </c>
    </row>
    <row r="79" spans="1:10" x14ac:dyDescent="0.25">
      <c r="A79" s="1" t="s">
        <v>28</v>
      </c>
      <c r="B79" s="28" t="str">
        <f>B68</f>
        <v>86</v>
      </c>
      <c r="C79" s="21" t="str">
        <f t="shared" ref="C79:J79" si="11">C68</f>
        <v>86</v>
      </c>
      <c r="D79" s="21" t="str">
        <f t="shared" si="11"/>
        <v>23</v>
      </c>
      <c r="E79" s="21" t="str">
        <f t="shared" si="11"/>
        <v>205</v>
      </c>
      <c r="F79" s="21" t="str">
        <f t="shared" si="11"/>
        <v>86</v>
      </c>
      <c r="G79" s="21" t="str">
        <f t="shared" si="11"/>
        <v>2</v>
      </c>
      <c r="H79" s="21" t="str">
        <f t="shared" si="11"/>
        <v>233</v>
      </c>
      <c r="I79" s="21" t="str">
        <f t="shared" si="11"/>
        <v>86</v>
      </c>
      <c r="J79" s="21" t="str">
        <f t="shared" si="11"/>
        <v>2</v>
      </c>
    </row>
    <row r="88" spans="1:4" x14ac:dyDescent="0.25">
      <c r="A88" s="1" t="s">
        <v>61</v>
      </c>
      <c r="B88" s="9" t="s">
        <v>59</v>
      </c>
      <c r="C88" s="9" t="s">
        <v>57</v>
      </c>
      <c r="D88" s="9" t="s">
        <v>58</v>
      </c>
    </row>
    <row r="89" spans="1:4" ht="15.75" x14ac:dyDescent="0.25">
      <c r="A89" s="1" t="s">
        <v>9</v>
      </c>
      <c r="B89" s="31" t="s">
        <v>15</v>
      </c>
      <c r="C89" s="13" t="s">
        <v>17</v>
      </c>
      <c r="D89" s="31" t="s">
        <v>42</v>
      </c>
    </row>
    <row r="90" spans="1:4" x14ac:dyDescent="0.25">
      <c r="A90" s="1" t="s">
        <v>60</v>
      </c>
      <c r="B90" s="32">
        <v>228196.8</v>
      </c>
      <c r="C90" s="11">
        <v>174088</v>
      </c>
      <c r="D90" s="34">
        <v>185042.55</v>
      </c>
    </row>
    <row r="91" spans="1:4" x14ac:dyDescent="0.25">
      <c r="A91" s="1" t="s">
        <v>3</v>
      </c>
      <c r="B91" s="9" t="s">
        <v>48</v>
      </c>
      <c r="C91" s="9" t="s">
        <v>48</v>
      </c>
      <c r="D91" s="9" t="s">
        <v>53</v>
      </c>
    </row>
    <row r="96" spans="1:4" x14ac:dyDescent="0.25">
      <c r="B96" s="9" t="s">
        <v>57</v>
      </c>
    </row>
    <row r="97" spans="2:2" ht="15.75" x14ac:dyDescent="0.25">
      <c r="B97" s="13" t="s">
        <v>17</v>
      </c>
    </row>
    <row r="98" spans="2:2" x14ac:dyDescent="0.25">
      <c r="B98" s="11">
        <v>174088</v>
      </c>
    </row>
    <row r="99" spans="2:2" x14ac:dyDescent="0.25">
      <c r="B99" s="9" t="s">
        <v>48</v>
      </c>
    </row>
  </sheetData>
  <conditionalFormatting sqref="B25:J25">
    <cfRule type="colorScale" priority="1">
      <colorScale>
        <cfvo type="min"/>
        <cfvo type="max"/>
        <color rgb="FF63BE7B"/>
        <color rgb="FFFCFCFF"/>
      </colorScale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RULES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AFF07</dc:creator>
  <cp:lastModifiedBy>AFF07</cp:lastModifiedBy>
  <dcterms:created xsi:type="dcterms:W3CDTF">2015-06-05T18:17:20Z</dcterms:created>
  <dcterms:modified xsi:type="dcterms:W3CDTF">2026-05-23T05:45:11Z</dcterms:modified>
</cp:coreProperties>
</file>